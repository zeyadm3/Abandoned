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ean" sheetId="2" r:id="rId2"/>
    <sheet name="Standard" sheetId="3" r:id="rId3"/>
    <sheet name="Max" sheetId="4" r:id="rId4"/>
    <sheet name="Assumptions" sheetId="5" r:id="rId5"/>
  </sheets>
  <calcPr calcId="124519" fullCalcOnLoad="1"/>
</workbook>
</file>

<file path=xl/sharedStrings.xml><?xml version="1.0" encoding="utf-8"?>
<sst xmlns="http://schemas.openxmlformats.org/spreadsheetml/2006/main" count="209" uniqueCount="115">
  <si>
    <t>Assumptions and checks</t>
  </si>
  <si>
    <t>Blue figures are inputs. Everything else in the workbook is worked out from them.</t>
  </si>
  <si>
    <t>What we keep from one sale</t>
  </si>
  <si>
    <t>Step</t>
  </si>
  <si>
    <t>Rate</t>
  </si>
  <si>
    <t>AED left</t>
  </si>
  <si>
    <t>List price ($9.99 tier)</t>
  </si>
  <si>
    <t>Average sale after regional prices and discounts</t>
  </si>
  <si>
    <t>Less VAT and sales tax inside the price</t>
  </si>
  <si>
    <t>Less refunds</t>
  </si>
  <si>
    <t>Less Steam's share</t>
  </si>
  <si>
    <t>Less US withholding: 30% tax on the 30% of sales from US buyers</t>
  </si>
  <si>
    <t>Studio keeps per copy</t>
  </si>
  <si>
    <t>Other inputs</t>
  </si>
  <si>
    <t>Input</t>
  </si>
  <si>
    <t>Value</t>
  </si>
  <si>
    <t>AED per US dollar (fixed peg)</t>
  </si>
  <si>
    <t>Unity Personal limit, USD of funding plus revenue over 12 months</t>
  </si>
  <si>
    <t>Founder pay a month, Zeyad</t>
  </si>
  <si>
    <t>Founder pay a month, Yousef</t>
  </si>
  <si>
    <t>Founder pay a month, Jihad</t>
  </si>
  <si>
    <t>Work setups</t>
  </si>
  <si>
    <t>Price per setup</t>
  </si>
  <si>
    <t>Languages checked by native speakers</t>
  </si>
  <si>
    <t>Price per language</t>
  </si>
  <si>
    <t>Interns (Max plan only)</t>
  </si>
  <si>
    <t>Intern pay per month</t>
  </si>
  <si>
    <t>Intern months</t>
  </si>
  <si>
    <t>Software, 14 months</t>
  </si>
  <si>
    <t>Item</t>
  </si>
  <si>
    <t>AED a month</t>
  </si>
  <si>
    <t>Count</t>
  </si>
  <si>
    <t>14 months</t>
  </si>
  <si>
    <t>Claude Max (Zeyad, Yousef)</t>
  </si>
  <si>
    <t>ChatGPT Pro (Zeyad, Yousef)</t>
  </si>
  <si>
    <t>Claude Pro (Jihad)</t>
  </si>
  <si>
    <t>Google Workspace mailboxes on our domain</t>
  </si>
  <si>
    <t>Website hosting and builder</t>
  </si>
  <si>
    <t>Domain (AED 100 a year)</t>
  </si>
  <si>
    <t>per year</t>
  </si>
  <si>
    <t>Itemised total</t>
  </si>
  <si>
    <t>Budgeted, rounded up</t>
  </si>
  <si>
    <t>Prices are the plans' list prices in dirhams. Check them before the meeting.</t>
  </si>
  <si>
    <t>Lean plan</t>
  </si>
  <si>
    <t>What each tranche pays for. All amounts in AED.</t>
  </si>
  <si>
    <t>Line</t>
  </si>
  <si>
    <t>Tranche 1
at start
Nov 2026</t>
  </si>
  <si>
    <t>Tranche 2
Mar 2027
10k copies, 75% reviews</t>
  </si>
  <si>
    <t>Tranche 3
Sep 2027
20k copies</t>
  </si>
  <si>
    <t>Reserve
held back</t>
  </si>
  <si>
    <t>Line total</t>
  </si>
  <si>
    <t>How it is split</t>
  </si>
  <si>
    <t>Founder pay (3 x 5,000 a month)</t>
  </si>
  <si>
    <t>Zeyad, Yousef and Jihad at 5,000 a month each, for the months each tranche covers (4, 6 and 4)</t>
  </si>
  <si>
    <t>Marketing and community</t>
  </si>
  <si>
    <t>Full budget at the start</t>
  </si>
  <si>
    <t>Software, website and domain</t>
  </si>
  <si>
    <t>Monthly costs for the months each tranche covers (4, 6 and 4)</t>
  </si>
  <si>
    <t>Work setups (3 x 20,000)</t>
  </si>
  <si>
    <t>Two setups now, the third with tranche 2</t>
  </si>
  <si>
    <t>Steam Deck for testing</t>
  </si>
  <si>
    <t>Bought before launch</t>
  </si>
  <si>
    <t>Legal, accounting and bookkeeping</t>
  </si>
  <si>
    <t>Company setup first, then running costs</t>
  </si>
  <si>
    <t>Language checks (11 x 1,000)</t>
  </si>
  <si>
    <t>Launch text before December, DLC text in 2027</t>
  </si>
  <si>
    <t>Events</t>
  </si>
  <si>
    <t>Spread across the year</t>
  </si>
  <si>
    <t>UAE freelancers (art, sound)</t>
  </si>
  <si>
    <t>Not in this plan</t>
  </si>
  <si>
    <t>UAE interns (3 x 3,000 x 6 months)</t>
  </si>
  <si>
    <t>Reserve, held back for overruns</t>
  </si>
  <si>
    <t>Whatever is left between the spend and the total ask, about 10%</t>
  </si>
  <si>
    <t>Total we receive</t>
  </si>
  <si>
    <t>Total ask (blue: change it to move the reserve)</t>
  </si>
  <si>
    <t>Share of the total ask</t>
  </si>
  <si>
    <t>Blue figures are inputs. Change a tranche amount and the line total, reserve and summary update.</t>
  </si>
  <si>
    <t>Tranche 2 is released at the end of February 2027 if at least 10,000 copies have sold and reviews are at least 75% positive.</t>
  </si>
  <si>
    <t>Tranche 3 is released in September 2027 if at least 20,000 copies have sold.</t>
  </si>
  <si>
    <t>Standard plan</t>
  </si>
  <si>
    <t>Max plan</t>
  </si>
  <si>
    <t>November to February from tranche 1, March and April from tranche 2</t>
  </si>
  <si>
    <t>Checks</t>
  </si>
  <si>
    <t>Check</t>
  </si>
  <si>
    <t>Lean</t>
  </si>
  <si>
    <t>Standard</t>
  </si>
  <si>
    <t>Max</t>
  </si>
  <si>
    <t>Founder pay equals the three monthly amounts x 14 months</t>
  </si>
  <si>
    <t>Software equals the software budget</t>
  </si>
  <si>
    <t>Software budget covers the itemised prices</t>
  </si>
  <si>
    <t>Setups equal count x price</t>
  </si>
  <si>
    <t>Language checks equal languages x price</t>
  </si>
  <si>
    <t>Interns: 3 x 3,000 x 6 months in Max, none in Lean and Standard</t>
  </si>
  <si>
    <t>Reserve is between 9% and 11% of spend</t>
  </si>
  <si>
    <t>Tranches plus reserve equal the total ask</t>
  </si>
  <si>
    <t>Under Unity's USD 200,000 limit before game sales (if not, Unity Pro is needed)</t>
  </si>
  <si>
    <t>ABANDONED funding request</t>
  </si>
  <si>
    <t>Sarab Studio. Three options over 14 months, November 2026 to December 2027. All amounts in AED.</t>
  </si>
  <si>
    <t>What we receive</t>
  </si>
  <si>
    <t>Total ask</t>
  </si>
  <si>
    <t>Tranche 1, at the start (November 2026)</t>
  </si>
  <si>
    <t>Tranche 2, at 10,000 copies and 75% positive reviews (March 2027)</t>
  </si>
  <si>
    <t>Tranche 3, at 20,000 copies (September 2027)</t>
  </si>
  <si>
    <t>Total ask in US dollars</t>
  </si>
  <si>
    <t>Where the money goes</t>
  </si>
  <si>
    <t>Spend</t>
  </si>
  <si>
    <t>Reserve</t>
  </si>
  <si>
    <t>Key figures</t>
  </si>
  <si>
    <t>Tranche 1 as a share of the total ask</t>
  </si>
  <si>
    <t>Marketing as a share of spend</t>
  </si>
  <si>
    <t>Copies to sell to earn back the total ask</t>
  </si>
  <si>
    <t>Room under Unity's USD 200,000 limit, before game sales (USD)</t>
  </si>
  <si>
    <t>Each copy earns the studio about AED 16.46 after regional prices, VAT, refunds, Steam's share and US withholding (see Assumptions).</t>
  </si>
  <si>
    <t>Tranche 3 is released in September 2027 if at least 20,000 copies have sold. The reserve is only drawn if costs run over.</t>
  </si>
  <si>
    <t>Unity's limit counts funding plus game revenue over 12 months. A plan above it, or one that sells past it, needs Unity Pro.</t>
  </si>
</sst>
</file>

<file path=xl/styles.xml><?xml version="1.0" encoding="utf-8"?>
<styleSheet xmlns="http://schemas.openxmlformats.org/spreadsheetml/2006/main">
  <numFmts count="5">
    <numFmt numFmtId="164" formatCode="#,##0;-#,##0;&quot;–&quot;"/>
    <numFmt numFmtId="165" formatCode="0%"/>
    <numFmt numFmtId="166" formatCode="0%;-0%;&quot;–&quot;"/>
    <numFmt numFmtId="167" formatCode="0.00"/>
    <numFmt numFmtId="168" formatCode="0.0000"/>
  </numFmts>
  <fonts count="15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sz val="10"/>
      <color rgb="FFF2C230"/>
      <name val="Arial"/>
      <family val="2"/>
    </font>
    <font>
      <b/>
      <sz val="10"/>
      <color rgb="FFFFFFFF"/>
      <name val="Arial"/>
      <family val="2"/>
    </font>
    <font>
      <b/>
      <sz val="11"/>
      <color rgb="FF0E1116"/>
      <name val="Arial"/>
      <family val="2"/>
    </font>
    <font>
      <sz val="10"/>
      <color rgb="FF0E1116"/>
      <name val="Arial"/>
      <family val="2"/>
    </font>
    <font>
      <sz val="10"/>
      <color rgb="FF5B6572"/>
      <name val="Arial"/>
      <family val="2"/>
    </font>
    <font>
      <b/>
      <sz val="10"/>
      <color rgb="FF0E1116"/>
      <name val="Arial"/>
      <family val="2"/>
    </font>
    <font>
      <i/>
      <sz val="10"/>
      <color rgb="FF5B6572"/>
      <name val="Arial"/>
      <family val="2"/>
    </font>
    <font>
      <sz val="10"/>
      <color rgb="FF1D4ED8"/>
      <name val="Arial"/>
      <family val="2"/>
    </font>
    <font>
      <i/>
      <sz val="10"/>
      <color rgb="FF0E1116"/>
      <name val="Arial"/>
      <family val="2"/>
    </font>
    <font>
      <b/>
      <sz val="11"/>
      <color rgb="FF1D4ED8"/>
      <name val="Arial"/>
      <family val="2"/>
    </font>
    <font>
      <sz val="11"/>
      <color rgb="FF0E1116"/>
      <name val="Arial"/>
      <family val="2"/>
    </font>
    <font>
      <b/>
      <sz val="12"/>
      <color rgb="FF0E1116"/>
      <name val="Arial"/>
      <family val="2"/>
    </font>
    <font>
      <b/>
      <sz val="10"/>
      <color rgb="FF1D4ED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E1116"/>
        <bgColor indexed="64"/>
      </patternFill>
    </fill>
    <fill>
      <patternFill patternType="solid">
        <fgColor rgb="FFF2C230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FCF3D2"/>
        <bgColor indexed="64"/>
      </patternFill>
    </fill>
  </fills>
  <borders count="4">
    <border>
      <left/>
      <right/>
      <top/>
      <bottom/>
      <diagonal/>
    </border>
    <border>
      <left style="thin">
        <color rgb="FF0E1116"/>
      </left>
      <right style="thin">
        <color rgb="FF0E1116"/>
      </right>
      <top style="thin">
        <color rgb="FF0E1116"/>
      </top>
      <bottom style="thin">
        <color rgb="FF0E1116"/>
      </bottom>
      <diagonal/>
    </border>
    <border>
      <left/>
      <right/>
      <top/>
      <bottom style="thin">
        <color rgb="FFD9DEE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indent="1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indent="1"/>
    </xf>
    <xf numFmtId="164" fontId="4" fillId="3" borderId="0" xfId="0" applyNumberFormat="1" applyFont="1" applyFill="1" applyAlignment="1">
      <alignment horizontal="right" vertical="center"/>
    </xf>
    <xf numFmtId="0" fontId="5" fillId="0" borderId="2" xfId="0" applyFont="1" applyBorder="1" applyAlignment="1">
      <alignment horizontal="left" vertical="center" indent="1"/>
    </xf>
    <xf numFmtId="164" fontId="5" fillId="0" borderId="2" xfId="0" applyNumberFormat="1" applyFont="1" applyBorder="1" applyAlignment="1">
      <alignment vertical="center"/>
    </xf>
    <xf numFmtId="0" fontId="5" fillId="4" borderId="2" xfId="0" applyFont="1" applyFill="1" applyBorder="1" applyAlignment="1">
      <alignment horizontal="left" vertical="center" indent="1"/>
    </xf>
    <xf numFmtId="164" fontId="5" fillId="4" borderId="2" xfId="0" applyNumberFormat="1" applyFont="1" applyFill="1" applyBorder="1" applyAlignment="1">
      <alignment vertical="center"/>
    </xf>
    <xf numFmtId="0" fontId="6" fillId="0" borderId="0" xfId="0" applyFont="1" applyAlignment="1">
      <alignment horizontal="left" vertical="center" indent="1"/>
    </xf>
    <xf numFmtId="164" fontId="6" fillId="0" borderId="0" xfId="0" applyNumberFormat="1" applyFont="1" applyAlignment="1">
      <alignment horizontal="right" vertical="center"/>
    </xf>
    <xf numFmtId="0" fontId="7" fillId="0" borderId="3" xfId="0" applyFont="1" applyBorder="1" applyAlignment="1">
      <alignment horizontal="left" vertical="center" indent="1"/>
    </xf>
    <xf numFmtId="164" fontId="7" fillId="0" borderId="3" xfId="0" applyNumberFormat="1" applyFont="1" applyBorder="1" applyAlignment="1">
      <alignment horizontal="right" vertical="center"/>
    </xf>
    <xf numFmtId="165" fontId="5" fillId="0" borderId="2" xfId="0" applyNumberFormat="1" applyFont="1" applyBorder="1" applyAlignment="1">
      <alignment vertical="center"/>
    </xf>
    <xf numFmtId="165" fontId="5" fillId="4" borderId="2" xfId="0" applyNumberFormat="1" applyFont="1" applyFill="1" applyBorder="1" applyAlignment="1">
      <alignment vertical="center"/>
    </xf>
    <xf numFmtId="0" fontId="8" fillId="0" borderId="0" xfId="0" applyFont="1" applyAlignment="1">
      <alignment horizontal="left" vertical="center" indent="1"/>
    </xf>
    <xf numFmtId="164" fontId="9" fillId="0" borderId="2" xfId="0" applyNumberFormat="1" applyFont="1" applyBorder="1" applyAlignment="1">
      <alignment vertical="center"/>
    </xf>
    <xf numFmtId="164" fontId="6" fillId="0" borderId="2" xfId="0" applyNumberFormat="1" applyFont="1" applyBorder="1" applyAlignment="1">
      <alignment vertical="center"/>
    </xf>
    <xf numFmtId="164" fontId="7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horizontal="left" vertical="center" indent="1"/>
    </xf>
    <xf numFmtId="164" fontId="9" fillId="4" borderId="2" xfId="0" applyNumberFormat="1" applyFont="1" applyFill="1" applyBorder="1" applyAlignment="1">
      <alignment vertical="center"/>
    </xf>
    <xf numFmtId="164" fontId="6" fillId="4" borderId="2" xfId="0" applyNumberFormat="1" applyFont="1" applyFill="1" applyBorder="1" applyAlignment="1">
      <alignment vertical="center"/>
    </xf>
    <xf numFmtId="164" fontId="7" fillId="4" borderId="2" xfId="0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horizontal="left" vertical="center" indent="1"/>
    </xf>
    <xf numFmtId="0" fontId="10" fillId="0" borderId="2" xfId="0" applyFont="1" applyBorder="1" applyAlignment="1">
      <alignment horizontal="left" vertical="center" indent="1"/>
    </xf>
    <xf numFmtId="164" fontId="4" fillId="3" borderId="0" xfId="0" applyNumberFormat="1" applyFont="1" applyFill="1" applyAlignment="1">
      <alignment vertical="center"/>
    </xf>
    <xf numFmtId="164" fontId="11" fillId="3" borderId="0" xfId="0" applyNumberFormat="1" applyFont="1" applyFill="1" applyAlignment="1">
      <alignment vertical="center"/>
    </xf>
    <xf numFmtId="0" fontId="12" fillId="3" borderId="0" xfId="0" applyFont="1" applyFill="1" applyAlignment="1">
      <alignment horizontal="left" vertical="center" indent="1"/>
    </xf>
    <xf numFmtId="166" fontId="6" fillId="0" borderId="0" xfId="0" applyNumberFormat="1" applyFont="1" applyAlignment="1">
      <alignment horizontal="right" vertical="center"/>
    </xf>
    <xf numFmtId="0" fontId="13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167" fontId="9" fillId="0" borderId="2" xfId="0" applyNumberFormat="1" applyFont="1" applyBorder="1" applyAlignment="1">
      <alignment vertical="center"/>
    </xf>
    <xf numFmtId="165" fontId="9" fillId="4" borderId="2" xfId="0" applyNumberFormat="1" applyFont="1" applyFill="1" applyBorder="1" applyAlignment="1">
      <alignment horizontal="center" vertical="center"/>
    </xf>
    <xf numFmtId="167" fontId="5" fillId="4" borderId="2" xfId="0" applyNumberFormat="1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165" fontId="9" fillId="0" borderId="2" xfId="0" applyNumberFormat="1" applyFont="1" applyBorder="1" applyAlignment="1">
      <alignment horizontal="center" vertical="center"/>
    </xf>
    <xf numFmtId="167" fontId="5" fillId="0" borderId="2" xfId="0" applyNumberFormat="1" applyFont="1" applyBorder="1" applyAlignment="1">
      <alignment vertical="center"/>
    </xf>
    <xf numFmtId="0" fontId="7" fillId="5" borderId="0" xfId="0" applyFont="1" applyFill="1" applyAlignment="1">
      <alignment horizontal="left" vertical="center" indent="1"/>
    </xf>
    <xf numFmtId="0" fontId="5" fillId="5" borderId="0" xfId="0" applyFont="1" applyFill="1" applyAlignment="1">
      <alignment vertical="center"/>
    </xf>
    <xf numFmtId="167" fontId="7" fillId="5" borderId="0" xfId="0" applyNumberFormat="1" applyFont="1" applyFill="1" applyAlignment="1">
      <alignment vertical="center"/>
    </xf>
    <xf numFmtId="168" fontId="9" fillId="0" borderId="2" xfId="0" applyNumberFormat="1" applyFont="1" applyBorder="1" applyAlignment="1">
      <alignment horizontal="right" vertical="center"/>
    </xf>
    <xf numFmtId="164" fontId="9" fillId="4" borderId="2" xfId="0" applyNumberFormat="1" applyFont="1" applyFill="1" applyBorder="1" applyAlignment="1">
      <alignment horizontal="right" vertical="center"/>
    </xf>
    <xf numFmtId="164" fontId="9" fillId="0" borderId="2" xfId="0" applyNumberFormat="1" applyFont="1" applyBorder="1" applyAlignment="1">
      <alignment horizontal="right" vertical="center"/>
    </xf>
    <xf numFmtId="0" fontId="6" fillId="4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164" fontId="7" fillId="0" borderId="3" xfId="0" applyNumberFormat="1" applyFont="1" applyBorder="1" applyAlignment="1">
      <alignment vertical="center"/>
    </xf>
    <xf numFmtId="164" fontId="14" fillId="5" borderId="0" xfId="0" applyNumberFormat="1" applyFont="1" applyFill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17803D"/>
      </font>
    </dxf>
    <dxf>
      <font>
        <color rgb="FFB42318"/>
      </font>
      <fill>
        <patternFill>
          <bgColor rgb="FFFDE8E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2C230"/>
    <pageSetUpPr fitToPage="1"/>
  </sheetPr>
  <dimension ref="A1:D36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1" width="66.7109375" customWidth="1"/>
    <col min="2" max="4" width="15.7109375" customWidth="1"/>
  </cols>
  <sheetData>
    <row r="1" spans="1:4" ht="36" customHeight="1">
      <c r="A1" s="1" t="s">
        <v>96</v>
      </c>
      <c r="B1" s="1"/>
      <c r="C1" s="1"/>
      <c r="D1" s="1"/>
    </row>
    <row r="2" spans="1:4" ht="20" customHeight="1">
      <c r="A2" s="2" t="s">
        <v>97</v>
      </c>
      <c r="B2" s="2"/>
      <c r="C2" s="2"/>
      <c r="D2" s="2"/>
    </row>
    <row r="3" spans="1:4" ht="10" customHeight="1"/>
    <row r="4" spans="1:4" ht="22" customHeight="1">
      <c r="A4" s="3" t="s">
        <v>98</v>
      </c>
      <c r="B4" s="4" t="s">
        <v>84</v>
      </c>
      <c r="C4" s="4" t="s">
        <v>85</v>
      </c>
      <c r="D4" s="4" t="s">
        <v>86</v>
      </c>
    </row>
    <row r="5" spans="1:4">
      <c r="A5" s="5" t="s">
        <v>99</v>
      </c>
      <c r="B5" s="6">
        <f>'Lean'!$F$16</f>
        <v>550000</v>
      </c>
      <c r="C5" s="6">
        <f>'Standard'!$F$16</f>
        <v>620000</v>
      </c>
      <c r="D5" s="6">
        <f>'Max'!$F$16</f>
        <v>730000</v>
      </c>
    </row>
    <row r="6" spans="1:4">
      <c r="A6" s="7" t="s">
        <v>100</v>
      </c>
      <c r="B6" s="8">
        <f>'Lean'!$B$16</f>
        <v>290400</v>
      </c>
      <c r="C6" s="8">
        <f>'Standard'!$B$16</f>
        <v>344900</v>
      </c>
      <c r="D6" s="8">
        <f>'Max'!$B$16</f>
        <v>415400</v>
      </c>
    </row>
    <row r="7" spans="1:4">
      <c r="A7" s="9" t="s">
        <v>101</v>
      </c>
      <c r="B7" s="10">
        <f>'Lean'!$C$16</f>
        <v>134000</v>
      </c>
      <c r="C7" s="10">
        <f>'Standard'!$C$16</f>
        <v>140000</v>
      </c>
      <c r="D7" s="10">
        <f>'Max'!$C$16</f>
        <v>164000</v>
      </c>
    </row>
    <row r="8" spans="1:4">
      <c r="A8" s="7" t="s">
        <v>102</v>
      </c>
      <c r="B8" s="8">
        <f>'Lean'!$D$16</f>
        <v>74000</v>
      </c>
      <c r="C8" s="8">
        <f>'Standard'!$D$16</f>
        <v>78500</v>
      </c>
      <c r="D8" s="8">
        <f>'Max'!$D$16</f>
        <v>83000</v>
      </c>
    </row>
    <row r="9" spans="1:4">
      <c r="A9" s="9" t="s">
        <v>71</v>
      </c>
      <c r="B9" s="10">
        <f>'Lean'!$E$16</f>
        <v>51600</v>
      </c>
      <c r="C9" s="10">
        <f>'Standard'!$E$16</f>
        <v>56600</v>
      </c>
      <c r="D9" s="10">
        <f>'Max'!$E$16</f>
        <v>67600</v>
      </c>
    </row>
    <row r="10" spans="1:4">
      <c r="A10" s="11" t="s">
        <v>103</v>
      </c>
      <c r="B10" s="12">
        <f>B5/Assumptions!$B$16</f>
        <v>149761.74268209666</v>
      </c>
      <c r="C10" s="12">
        <f>C5/Assumptions!$B$16</f>
        <v>168822.3281143635</v>
      </c>
      <c r="D10" s="12">
        <f>D5/Assumptions!$B$16</f>
        <v>198774.67665078284</v>
      </c>
    </row>
    <row r="12" spans="1:4" ht="22" customHeight="1">
      <c r="A12" s="3" t="s">
        <v>104</v>
      </c>
      <c r="B12" s="4" t="s">
        <v>84</v>
      </c>
      <c r="C12" s="4" t="s">
        <v>85</v>
      </c>
      <c r="D12" s="4" t="s">
        <v>86</v>
      </c>
    </row>
    <row r="13" spans="1:4">
      <c r="A13" s="7" t="s">
        <v>52</v>
      </c>
      <c r="B13" s="8">
        <f>'Lean'!$F$5</f>
        <v>210000</v>
      </c>
      <c r="C13" s="8">
        <f>'Standard'!$F$5</f>
        <v>210000</v>
      </c>
      <c r="D13" s="8">
        <f>'Max'!$F$5</f>
        <v>210000</v>
      </c>
    </row>
    <row r="14" spans="1:4">
      <c r="A14" s="9" t="s">
        <v>54</v>
      </c>
      <c r="B14" s="10">
        <f>'Lean'!$F$6</f>
        <v>160000</v>
      </c>
      <c r="C14" s="10">
        <f>'Standard'!$F$6</f>
        <v>210000</v>
      </c>
      <c r="D14" s="10">
        <f>'Max'!$F$6</f>
        <v>240000</v>
      </c>
    </row>
    <row r="15" spans="1:4">
      <c r="A15" s="7" t="s">
        <v>56</v>
      </c>
      <c r="B15" s="8">
        <f>'Lean'!$F$7</f>
        <v>25000</v>
      </c>
      <c r="C15" s="8">
        <f>'Standard'!$F$7</f>
        <v>25000</v>
      </c>
      <c r="D15" s="8">
        <f>'Max'!$F$7</f>
        <v>25000</v>
      </c>
    </row>
    <row r="16" spans="1:4">
      <c r="A16" s="9" t="s">
        <v>58</v>
      </c>
      <c r="B16" s="10">
        <f>'Lean'!$F$8</f>
        <v>60000</v>
      </c>
      <c r="C16" s="10">
        <f>'Standard'!$F$8</f>
        <v>60000</v>
      </c>
      <c r="D16" s="10">
        <f>'Max'!$F$8</f>
        <v>60000</v>
      </c>
    </row>
    <row r="17" spans="1:4">
      <c r="A17" s="7" t="s">
        <v>60</v>
      </c>
      <c r="B17" s="8">
        <f>'Lean'!$F$9</f>
        <v>2400</v>
      </c>
      <c r="C17" s="8">
        <f>'Standard'!$F$9</f>
        <v>2400</v>
      </c>
      <c r="D17" s="8">
        <f>'Max'!$F$9</f>
        <v>2400</v>
      </c>
    </row>
    <row r="18" spans="1:4">
      <c r="A18" s="9" t="s">
        <v>62</v>
      </c>
      <c r="B18" s="10">
        <f>'Lean'!$F$10</f>
        <v>20000</v>
      </c>
      <c r="C18" s="10">
        <f>'Standard'!$F$10</f>
        <v>20000</v>
      </c>
      <c r="D18" s="10">
        <f>'Max'!$F$10</f>
        <v>20000</v>
      </c>
    </row>
    <row r="19" spans="1:4">
      <c r="A19" s="7" t="s">
        <v>64</v>
      </c>
      <c r="B19" s="8">
        <f>'Lean'!$F$11</f>
        <v>11000</v>
      </c>
      <c r="C19" s="8">
        <f>'Standard'!$F$11</f>
        <v>11000</v>
      </c>
      <c r="D19" s="8">
        <f>'Max'!$F$11</f>
        <v>11000</v>
      </c>
    </row>
    <row r="20" spans="1:4">
      <c r="A20" s="9" t="s">
        <v>66</v>
      </c>
      <c r="B20" s="10">
        <f>'Lean'!$F$12</f>
        <v>10000</v>
      </c>
      <c r="C20" s="10">
        <f>'Standard'!$F$12</f>
        <v>10000</v>
      </c>
      <c r="D20" s="10">
        <f>'Max'!$F$12</f>
        <v>10000</v>
      </c>
    </row>
    <row r="21" spans="1:4">
      <c r="A21" s="7" t="s">
        <v>68</v>
      </c>
      <c r="B21" s="8">
        <f>'Lean'!$F$13</f>
        <v>0</v>
      </c>
      <c r="C21" s="8">
        <f>'Standard'!$F$13</f>
        <v>15000</v>
      </c>
      <c r="D21" s="8">
        <f>'Max'!$F$13</f>
        <v>30000</v>
      </c>
    </row>
    <row r="22" spans="1:4">
      <c r="A22" s="9" t="s">
        <v>70</v>
      </c>
      <c r="B22" s="10">
        <f>'Lean'!$F$14</f>
        <v>0</v>
      </c>
      <c r="C22" s="10">
        <f>'Standard'!$F$14</f>
        <v>0</v>
      </c>
      <c r="D22" s="10">
        <f>'Max'!$F$14</f>
        <v>54000</v>
      </c>
    </row>
    <row r="23" spans="1:4">
      <c r="A23" s="13" t="s">
        <v>105</v>
      </c>
      <c r="B23" s="14">
        <f>SUM(B13:B22)</f>
        <v>498400</v>
      </c>
      <c r="C23" s="14">
        <f>SUM(C13:C22)</f>
        <v>563400</v>
      </c>
      <c r="D23" s="14">
        <f>SUM(D13:D22)</f>
        <v>662400</v>
      </c>
    </row>
    <row r="24" spans="1:4">
      <c r="A24" s="7" t="s">
        <v>106</v>
      </c>
      <c r="B24" s="8">
        <f>'Lean'!$E$16</f>
        <v>51600</v>
      </c>
      <c r="C24" s="8">
        <f>'Standard'!$E$16</f>
        <v>56600</v>
      </c>
      <c r="D24" s="8">
        <f>'Max'!$E$16</f>
        <v>67600</v>
      </c>
    </row>
    <row r="25" spans="1:4">
      <c r="A25" s="5" t="s">
        <v>99</v>
      </c>
      <c r="B25" s="6">
        <f>B23+B24</f>
        <v>550000</v>
      </c>
      <c r="C25" s="6">
        <f>C23+C24</f>
        <v>620000</v>
      </c>
      <c r="D25" s="6">
        <f>D23+D24</f>
        <v>730000</v>
      </c>
    </row>
    <row r="27" spans="1:4" ht="22" customHeight="1">
      <c r="A27" s="3" t="s">
        <v>107</v>
      </c>
      <c r="B27" s="4" t="s">
        <v>84</v>
      </c>
      <c r="C27" s="4" t="s">
        <v>85</v>
      </c>
      <c r="D27" s="4" t="s">
        <v>86</v>
      </c>
    </row>
    <row r="28" spans="1:4">
      <c r="A28" s="7" t="s">
        <v>108</v>
      </c>
      <c r="B28" s="15">
        <f>B6/B5</f>
        <v>0.528</v>
      </c>
      <c r="C28" s="15">
        <f>C6/C5</f>
        <v>0.5562903225806451</v>
      </c>
      <c r="D28" s="15">
        <f>D6/D5</f>
        <v>0.569041095890411</v>
      </c>
    </row>
    <row r="29" spans="1:4">
      <c r="A29" s="9" t="s">
        <v>109</v>
      </c>
      <c r="B29" s="16">
        <f>B14/B23</f>
        <v>0.32102728731942215</v>
      </c>
      <c r="C29" s="16">
        <f>C14/C23</f>
        <v>0.37273695420660274</v>
      </c>
      <c r="D29" s="16">
        <f>D14/D23</f>
        <v>0.36231884057971014</v>
      </c>
    </row>
    <row r="30" spans="1:4">
      <c r="A30" s="7" t="s">
        <v>110</v>
      </c>
      <c r="B30" s="8">
        <f>B5/Assumptions!$C$12</f>
        <v>33424.39103964378</v>
      </c>
      <c r="C30" s="8">
        <f>C5/Assumptions!$C$12</f>
        <v>37678.40444468935</v>
      </c>
      <c r="D30" s="8">
        <f>D5/Assumptions!$C$12</f>
        <v>44363.28265261811</v>
      </c>
    </row>
    <row r="31" spans="1:4">
      <c r="A31" s="9" t="s">
        <v>111</v>
      </c>
      <c r="B31" s="10">
        <f>Assumptions!$B$17-B5/Assumptions!$B$16</f>
        <v>50238.257317903335</v>
      </c>
      <c r="C31" s="10">
        <f>Assumptions!$B$17-C5/Assumptions!$B$16</f>
        <v>31177.67188563649</v>
      </c>
      <c r="D31" s="10">
        <f>Assumptions!$B$17-D5/Assumptions!$B$16</f>
        <v>1225.3233492171566</v>
      </c>
    </row>
    <row r="33" spans="1:1">
      <c r="A33" s="17" t="s">
        <v>112</v>
      </c>
    </row>
    <row r="34" spans="1:1">
      <c r="A34" s="17" t="s">
        <v>77</v>
      </c>
    </row>
    <row r="35" spans="1:1">
      <c r="A35" s="17" t="s">
        <v>113</v>
      </c>
    </row>
    <row r="36" spans="1:1">
      <c r="A36" s="17" t="s">
        <v>114</v>
      </c>
    </row>
  </sheetData>
  <mergeCells count="2">
    <mergeCell ref="A1:D1"/>
    <mergeCell ref="A2:D2"/>
  </mergeCells>
  <printOptions horizontalCentered="1"/>
  <pageMargins left="0.4" right="0.4" top="0.5" bottom="0.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E1116"/>
    <pageSetUpPr fitToPage="1"/>
  </sheetPr>
  <dimension ref="A1:G21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8.7109375" customWidth="1"/>
    <col min="2" max="2" width="14.7109375" customWidth="1"/>
    <col min="3" max="3" width="15.7109375" customWidth="1"/>
    <col min="4" max="4" width="14.7109375" customWidth="1"/>
    <col min="5" max="5" width="12.7109375" customWidth="1"/>
    <col min="6" max="6" width="13.7109375" customWidth="1"/>
    <col min="7" max="7" width="62.7109375" customWidth="1"/>
  </cols>
  <sheetData>
    <row r="1" spans="1:7" ht="36" customHeight="1">
      <c r="A1" s="1" t="s">
        <v>43</v>
      </c>
      <c r="B1" s="1"/>
      <c r="C1" s="1"/>
      <c r="D1" s="1"/>
      <c r="E1" s="1"/>
      <c r="F1" s="1"/>
      <c r="G1" s="1"/>
    </row>
    <row r="2" spans="1:7" ht="20" customHeight="1">
      <c r="A2" s="2" t="s">
        <v>44</v>
      </c>
      <c r="B2" s="2"/>
      <c r="C2" s="2"/>
      <c r="D2" s="2"/>
      <c r="E2" s="2"/>
      <c r="F2" s="2"/>
      <c r="G2" s="2"/>
    </row>
    <row r="3" spans="1:7" ht="10" customHeight="1"/>
    <row r="4" spans="1:7" ht="50" customHeight="1">
      <c r="A4" s="3" t="s">
        <v>45</v>
      </c>
      <c r="B4" s="4" t="s">
        <v>46</v>
      </c>
      <c r="C4" s="4" t="s">
        <v>47</v>
      </c>
      <c r="D4" s="4" t="s">
        <v>48</v>
      </c>
      <c r="E4" s="4" t="s">
        <v>49</v>
      </c>
      <c r="F4" s="4" t="s">
        <v>50</v>
      </c>
      <c r="G4" s="4" t="s">
        <v>51</v>
      </c>
    </row>
    <row r="5" spans="1:7" ht="20" customHeight="1">
      <c r="A5" s="7" t="s">
        <v>52</v>
      </c>
      <c r="B5" s="18">
        <v>60000</v>
      </c>
      <c r="C5" s="18">
        <v>90000</v>
      </c>
      <c r="D5" s="18">
        <v>60000</v>
      </c>
      <c r="E5" s="19">
        <v>0</v>
      </c>
      <c r="F5" s="20">
        <f>SUM(B5:E5)</f>
        <v>210000</v>
      </c>
      <c r="G5" s="21" t="s">
        <v>53</v>
      </c>
    </row>
    <row r="6" spans="1:7" ht="20" customHeight="1">
      <c r="A6" s="9" t="s">
        <v>54</v>
      </c>
      <c r="B6" s="22">
        <v>160000</v>
      </c>
      <c r="C6" s="22">
        <v>0</v>
      </c>
      <c r="D6" s="22">
        <v>0</v>
      </c>
      <c r="E6" s="23">
        <v>0</v>
      </c>
      <c r="F6" s="24">
        <f>SUM(B6:E6)</f>
        <v>160000</v>
      </c>
      <c r="G6" s="25" t="s">
        <v>55</v>
      </c>
    </row>
    <row r="7" spans="1:7" ht="20" customHeight="1">
      <c r="A7" s="7" t="s">
        <v>56</v>
      </c>
      <c r="B7" s="18">
        <v>7000</v>
      </c>
      <c r="C7" s="18">
        <v>11000</v>
      </c>
      <c r="D7" s="18">
        <v>7000</v>
      </c>
      <c r="E7" s="19">
        <v>0</v>
      </c>
      <c r="F7" s="20">
        <f>SUM(B7:E7)</f>
        <v>25000</v>
      </c>
      <c r="G7" s="21" t="s">
        <v>57</v>
      </c>
    </row>
    <row r="8" spans="1:7" ht="20" customHeight="1">
      <c r="A8" s="9" t="s">
        <v>58</v>
      </c>
      <c r="B8" s="22">
        <v>40000</v>
      </c>
      <c r="C8" s="22">
        <v>20000</v>
      </c>
      <c r="D8" s="22">
        <v>0</v>
      </c>
      <c r="E8" s="23">
        <v>0</v>
      </c>
      <c r="F8" s="24">
        <f>SUM(B8:E8)</f>
        <v>60000</v>
      </c>
      <c r="G8" s="25" t="s">
        <v>59</v>
      </c>
    </row>
    <row r="9" spans="1:7" ht="20" customHeight="1">
      <c r="A9" s="7" t="s">
        <v>60</v>
      </c>
      <c r="B9" s="18">
        <v>2400</v>
      </c>
      <c r="C9" s="18">
        <v>0</v>
      </c>
      <c r="D9" s="18">
        <v>0</v>
      </c>
      <c r="E9" s="19">
        <v>0</v>
      </c>
      <c r="F9" s="20">
        <f>SUM(B9:E9)</f>
        <v>2400</v>
      </c>
      <c r="G9" s="21" t="s">
        <v>61</v>
      </c>
    </row>
    <row r="10" spans="1:7" ht="20" customHeight="1">
      <c r="A10" s="9" t="s">
        <v>62</v>
      </c>
      <c r="B10" s="22">
        <v>10000</v>
      </c>
      <c r="C10" s="22">
        <v>6000</v>
      </c>
      <c r="D10" s="22">
        <v>4000</v>
      </c>
      <c r="E10" s="23">
        <v>0</v>
      </c>
      <c r="F10" s="24">
        <f>SUM(B10:E10)</f>
        <v>20000</v>
      </c>
      <c r="G10" s="25" t="s">
        <v>63</v>
      </c>
    </row>
    <row r="11" spans="1:7" ht="20" customHeight="1">
      <c r="A11" s="7" t="s">
        <v>64</v>
      </c>
      <c r="B11" s="18">
        <v>8000</v>
      </c>
      <c r="C11" s="18">
        <v>3000</v>
      </c>
      <c r="D11" s="18">
        <v>0</v>
      </c>
      <c r="E11" s="19">
        <v>0</v>
      </c>
      <c r="F11" s="20">
        <f>SUM(B11:E11)</f>
        <v>11000</v>
      </c>
      <c r="G11" s="21" t="s">
        <v>65</v>
      </c>
    </row>
    <row r="12" spans="1:7" ht="20" customHeight="1">
      <c r="A12" s="9" t="s">
        <v>66</v>
      </c>
      <c r="B12" s="22">
        <v>3000</v>
      </c>
      <c r="C12" s="22">
        <v>4000</v>
      </c>
      <c r="D12" s="22">
        <v>3000</v>
      </c>
      <c r="E12" s="23">
        <v>0</v>
      </c>
      <c r="F12" s="24">
        <f>SUM(B12:E12)</f>
        <v>10000</v>
      </c>
      <c r="G12" s="25" t="s">
        <v>67</v>
      </c>
    </row>
    <row r="13" spans="1:7" ht="20" customHeight="1">
      <c r="A13" s="7" t="s">
        <v>68</v>
      </c>
      <c r="B13" s="18">
        <v>0</v>
      </c>
      <c r="C13" s="18">
        <v>0</v>
      </c>
      <c r="D13" s="18">
        <v>0</v>
      </c>
      <c r="E13" s="19">
        <v>0</v>
      </c>
      <c r="F13" s="20">
        <f>SUM(B13:E13)</f>
        <v>0</v>
      </c>
      <c r="G13" s="21" t="s">
        <v>69</v>
      </c>
    </row>
    <row r="14" spans="1:7" ht="20" customHeight="1">
      <c r="A14" s="9" t="s">
        <v>70</v>
      </c>
      <c r="B14" s="22">
        <v>0</v>
      </c>
      <c r="C14" s="22">
        <v>0</v>
      </c>
      <c r="D14" s="22">
        <v>0</v>
      </c>
      <c r="E14" s="23">
        <v>0</v>
      </c>
      <c r="F14" s="24">
        <f>SUM(B14:E14)</f>
        <v>0</v>
      </c>
      <c r="G14" s="25" t="s">
        <v>69</v>
      </c>
    </row>
    <row r="15" spans="1:7" ht="20" customHeight="1">
      <c r="A15" s="26" t="s">
        <v>71</v>
      </c>
      <c r="B15" s="19">
        <v>0</v>
      </c>
      <c r="C15" s="19">
        <v>0</v>
      </c>
      <c r="D15" s="19">
        <v>0</v>
      </c>
      <c r="E15" s="8">
        <f>F16-SUM(B5:D14)</f>
        <v>51600</v>
      </c>
      <c r="F15" s="20">
        <f>SUM(B15:E15)</f>
        <v>51600</v>
      </c>
      <c r="G15" s="21" t="s">
        <v>72</v>
      </c>
    </row>
    <row r="16" spans="1:7" ht="26" customHeight="1">
      <c r="A16" s="5" t="s">
        <v>73</v>
      </c>
      <c r="B16" s="27">
        <f>SUM(B5:B15)</f>
        <v>290400</v>
      </c>
      <c r="C16" s="27">
        <f>SUM(C5:C15)</f>
        <v>134000</v>
      </c>
      <c r="D16" s="27">
        <f>SUM(D5:D15)</f>
        <v>74000</v>
      </c>
      <c r="E16" s="27">
        <f>SUM(E5:E15)</f>
        <v>51600</v>
      </c>
      <c r="F16" s="28">
        <v>550000</v>
      </c>
      <c r="G16" s="29" t="s">
        <v>74</v>
      </c>
    </row>
    <row r="17" spans="1:6">
      <c r="A17" s="11" t="s">
        <v>75</v>
      </c>
      <c r="B17" s="30">
        <f>B16/$F$16</f>
        <v>0.528</v>
      </c>
      <c r="C17" s="30">
        <f>C16/$F$16</f>
        <v>0.24363636363636362</v>
      </c>
      <c r="D17" s="30">
        <f>D16/$F$16</f>
        <v>0.13454545454545455</v>
      </c>
      <c r="E17" s="30">
        <f>E16/$F$16</f>
        <v>0.09381818181818181</v>
      </c>
      <c r="F17" s="30">
        <f>F16/$F$16</f>
        <v>1.0</v>
      </c>
    </row>
    <row r="19" spans="1:6">
      <c r="A19" s="17" t="s">
        <v>76</v>
      </c>
    </row>
    <row r="20" spans="1:6">
      <c r="A20" s="17" t="s">
        <v>77</v>
      </c>
    </row>
    <row r="21" spans="1:6">
      <c r="A21" s="17" t="s">
        <v>78</v>
      </c>
    </row>
  </sheetData>
  <mergeCells count="2">
    <mergeCell ref="A1:G1"/>
    <mergeCell ref="A2:G2"/>
  </mergeCells>
  <printOptions horizontalCentered="1"/>
  <pageMargins left="0.4" right="0.4" top="0.5" bottom="0.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E1116"/>
    <pageSetUpPr fitToPage="1"/>
  </sheetPr>
  <dimension ref="A1:G21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8.7109375" customWidth="1"/>
    <col min="2" max="2" width="14.7109375" customWidth="1"/>
    <col min="3" max="3" width="15.7109375" customWidth="1"/>
    <col min="4" max="4" width="14.7109375" customWidth="1"/>
    <col min="5" max="5" width="12.7109375" customWidth="1"/>
    <col min="6" max="6" width="13.7109375" customWidth="1"/>
    <col min="7" max="7" width="62.7109375" customWidth="1"/>
  </cols>
  <sheetData>
    <row r="1" spans="1:7" ht="36" customHeight="1">
      <c r="A1" s="1" t="s">
        <v>79</v>
      </c>
      <c r="B1" s="1"/>
      <c r="C1" s="1"/>
      <c r="D1" s="1"/>
      <c r="E1" s="1"/>
      <c r="F1" s="1"/>
      <c r="G1" s="1"/>
    </row>
    <row r="2" spans="1:7" ht="20" customHeight="1">
      <c r="A2" s="2" t="s">
        <v>44</v>
      </c>
      <c r="B2" s="2"/>
      <c r="C2" s="2"/>
      <c r="D2" s="2"/>
      <c r="E2" s="2"/>
      <c r="F2" s="2"/>
      <c r="G2" s="2"/>
    </row>
    <row r="3" spans="1:7" ht="10" customHeight="1"/>
    <row r="4" spans="1:7" ht="50" customHeight="1">
      <c r="A4" s="3" t="s">
        <v>45</v>
      </c>
      <c r="B4" s="4" t="s">
        <v>46</v>
      </c>
      <c r="C4" s="4" t="s">
        <v>47</v>
      </c>
      <c r="D4" s="4" t="s">
        <v>48</v>
      </c>
      <c r="E4" s="4" t="s">
        <v>49</v>
      </c>
      <c r="F4" s="4" t="s">
        <v>50</v>
      </c>
      <c r="G4" s="4" t="s">
        <v>51</v>
      </c>
    </row>
    <row r="5" spans="1:7" ht="20" customHeight="1">
      <c r="A5" s="7" t="s">
        <v>52</v>
      </c>
      <c r="B5" s="18">
        <v>60000</v>
      </c>
      <c r="C5" s="18">
        <v>90000</v>
      </c>
      <c r="D5" s="18">
        <v>60000</v>
      </c>
      <c r="E5" s="19">
        <v>0</v>
      </c>
      <c r="F5" s="20">
        <f>SUM(B5:E5)</f>
        <v>210000</v>
      </c>
      <c r="G5" s="21" t="s">
        <v>53</v>
      </c>
    </row>
    <row r="6" spans="1:7" ht="20" customHeight="1">
      <c r="A6" s="9" t="s">
        <v>54</v>
      </c>
      <c r="B6" s="22">
        <v>210000</v>
      </c>
      <c r="C6" s="22">
        <v>0</v>
      </c>
      <c r="D6" s="22">
        <v>0</v>
      </c>
      <c r="E6" s="23">
        <v>0</v>
      </c>
      <c r="F6" s="24">
        <f>SUM(B6:E6)</f>
        <v>210000</v>
      </c>
      <c r="G6" s="25" t="s">
        <v>55</v>
      </c>
    </row>
    <row r="7" spans="1:7" ht="20" customHeight="1">
      <c r="A7" s="7" t="s">
        <v>56</v>
      </c>
      <c r="B7" s="18">
        <v>7000</v>
      </c>
      <c r="C7" s="18">
        <v>11000</v>
      </c>
      <c r="D7" s="18">
        <v>7000</v>
      </c>
      <c r="E7" s="19">
        <v>0</v>
      </c>
      <c r="F7" s="20">
        <f>SUM(B7:E7)</f>
        <v>25000</v>
      </c>
      <c r="G7" s="21" t="s">
        <v>57</v>
      </c>
    </row>
    <row r="8" spans="1:7" ht="20" customHeight="1">
      <c r="A8" s="9" t="s">
        <v>58</v>
      </c>
      <c r="B8" s="22">
        <v>40000</v>
      </c>
      <c r="C8" s="22">
        <v>20000</v>
      </c>
      <c r="D8" s="22">
        <v>0</v>
      </c>
      <c r="E8" s="23">
        <v>0</v>
      </c>
      <c r="F8" s="24">
        <f>SUM(B8:E8)</f>
        <v>60000</v>
      </c>
      <c r="G8" s="25" t="s">
        <v>59</v>
      </c>
    </row>
    <row r="9" spans="1:7" ht="20" customHeight="1">
      <c r="A9" s="7" t="s">
        <v>60</v>
      </c>
      <c r="B9" s="18">
        <v>2400</v>
      </c>
      <c r="C9" s="18">
        <v>0</v>
      </c>
      <c r="D9" s="18">
        <v>0</v>
      </c>
      <c r="E9" s="19">
        <v>0</v>
      </c>
      <c r="F9" s="20">
        <f>SUM(B9:E9)</f>
        <v>2400</v>
      </c>
      <c r="G9" s="21" t="s">
        <v>61</v>
      </c>
    </row>
    <row r="10" spans="1:7" ht="20" customHeight="1">
      <c r="A10" s="9" t="s">
        <v>62</v>
      </c>
      <c r="B10" s="22">
        <v>10000</v>
      </c>
      <c r="C10" s="22">
        <v>6000</v>
      </c>
      <c r="D10" s="22">
        <v>4000</v>
      </c>
      <c r="E10" s="23">
        <v>0</v>
      </c>
      <c r="F10" s="24">
        <f>SUM(B10:E10)</f>
        <v>20000</v>
      </c>
      <c r="G10" s="25" t="s">
        <v>63</v>
      </c>
    </row>
    <row r="11" spans="1:7" ht="20" customHeight="1">
      <c r="A11" s="7" t="s">
        <v>64</v>
      </c>
      <c r="B11" s="18">
        <v>8000</v>
      </c>
      <c r="C11" s="18">
        <v>3000</v>
      </c>
      <c r="D11" s="18">
        <v>0</v>
      </c>
      <c r="E11" s="19">
        <v>0</v>
      </c>
      <c r="F11" s="20">
        <f>SUM(B11:E11)</f>
        <v>11000</v>
      </c>
      <c r="G11" s="21" t="s">
        <v>65</v>
      </c>
    </row>
    <row r="12" spans="1:7" ht="20" customHeight="1">
      <c r="A12" s="9" t="s">
        <v>66</v>
      </c>
      <c r="B12" s="22">
        <v>3000</v>
      </c>
      <c r="C12" s="22">
        <v>4000</v>
      </c>
      <c r="D12" s="22">
        <v>3000</v>
      </c>
      <c r="E12" s="23">
        <v>0</v>
      </c>
      <c r="F12" s="24">
        <f>SUM(B12:E12)</f>
        <v>10000</v>
      </c>
      <c r="G12" s="25" t="s">
        <v>67</v>
      </c>
    </row>
    <row r="13" spans="1:7" ht="20" customHeight="1">
      <c r="A13" s="7" t="s">
        <v>68</v>
      </c>
      <c r="B13" s="18">
        <v>4500</v>
      </c>
      <c r="C13" s="18">
        <v>6000</v>
      </c>
      <c r="D13" s="18">
        <v>4500</v>
      </c>
      <c r="E13" s="19">
        <v>0</v>
      </c>
      <c r="F13" s="20">
        <f>SUM(B13:E13)</f>
        <v>15000</v>
      </c>
      <c r="G13" s="21" t="s">
        <v>67</v>
      </c>
    </row>
    <row r="14" spans="1:7" ht="20" customHeight="1">
      <c r="A14" s="9" t="s">
        <v>70</v>
      </c>
      <c r="B14" s="22">
        <v>0</v>
      </c>
      <c r="C14" s="22">
        <v>0</v>
      </c>
      <c r="D14" s="22">
        <v>0</v>
      </c>
      <c r="E14" s="23">
        <v>0</v>
      </c>
      <c r="F14" s="24">
        <f>SUM(B14:E14)</f>
        <v>0</v>
      </c>
      <c r="G14" s="25" t="s">
        <v>69</v>
      </c>
    </row>
    <row r="15" spans="1:7" ht="20" customHeight="1">
      <c r="A15" s="26" t="s">
        <v>71</v>
      </c>
      <c r="B15" s="19">
        <v>0</v>
      </c>
      <c r="C15" s="19">
        <v>0</v>
      </c>
      <c r="D15" s="19">
        <v>0</v>
      </c>
      <c r="E15" s="8">
        <f>F16-SUM(B5:D14)</f>
        <v>56600</v>
      </c>
      <c r="F15" s="20">
        <f>SUM(B15:E15)</f>
        <v>56600</v>
      </c>
      <c r="G15" s="21" t="s">
        <v>72</v>
      </c>
    </row>
    <row r="16" spans="1:7" ht="26" customHeight="1">
      <c r="A16" s="5" t="s">
        <v>73</v>
      </c>
      <c r="B16" s="27">
        <f>SUM(B5:B15)</f>
        <v>344900</v>
      </c>
      <c r="C16" s="27">
        <f>SUM(C5:C15)</f>
        <v>140000</v>
      </c>
      <c r="D16" s="27">
        <f>SUM(D5:D15)</f>
        <v>78500</v>
      </c>
      <c r="E16" s="27">
        <f>SUM(E5:E15)</f>
        <v>56600</v>
      </c>
      <c r="F16" s="28">
        <v>620000</v>
      </c>
      <c r="G16" s="29" t="s">
        <v>74</v>
      </c>
    </row>
    <row r="17" spans="1:6">
      <c r="A17" s="11" t="s">
        <v>75</v>
      </c>
      <c r="B17" s="30">
        <f>B16/$F$16</f>
        <v>0.5562903225806451</v>
      </c>
      <c r="C17" s="30">
        <f>C16/$F$16</f>
        <v>0.22580645161290322</v>
      </c>
      <c r="D17" s="30">
        <f>D16/$F$16</f>
        <v>0.12661290322580646</v>
      </c>
      <c r="E17" s="30">
        <f>E16/$F$16</f>
        <v>0.09129032258064516</v>
      </c>
      <c r="F17" s="30">
        <f>F16/$F$16</f>
        <v>1.0</v>
      </c>
    </row>
    <row r="19" spans="1:6">
      <c r="A19" s="17" t="s">
        <v>76</v>
      </c>
    </row>
    <row r="20" spans="1:6">
      <c r="A20" s="17" t="s">
        <v>77</v>
      </c>
    </row>
    <row r="21" spans="1:6">
      <c r="A21" s="17" t="s">
        <v>78</v>
      </c>
    </row>
  </sheetData>
  <mergeCells count="2">
    <mergeCell ref="A1:G1"/>
    <mergeCell ref="A2:G2"/>
  </mergeCells>
  <printOptions horizontalCentered="1"/>
  <pageMargins left="0.4" right="0.4" top="0.5" bottom="0.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E1116"/>
    <pageSetUpPr fitToPage="1"/>
  </sheetPr>
  <dimension ref="A1:G21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8.7109375" customWidth="1"/>
    <col min="2" max="2" width="14.7109375" customWidth="1"/>
    <col min="3" max="3" width="15.7109375" customWidth="1"/>
    <col min="4" max="4" width="14.7109375" customWidth="1"/>
    <col min="5" max="5" width="12.7109375" customWidth="1"/>
    <col min="6" max="6" width="13.7109375" customWidth="1"/>
    <col min="7" max="7" width="62.7109375" customWidth="1"/>
  </cols>
  <sheetData>
    <row r="1" spans="1:7" ht="36" customHeight="1">
      <c r="A1" s="1" t="s">
        <v>80</v>
      </c>
      <c r="B1" s="1"/>
      <c r="C1" s="1"/>
      <c r="D1" s="1"/>
      <c r="E1" s="1"/>
      <c r="F1" s="1"/>
      <c r="G1" s="1"/>
    </row>
    <row r="2" spans="1:7" ht="20" customHeight="1">
      <c r="A2" s="2" t="s">
        <v>44</v>
      </c>
      <c r="B2" s="2"/>
      <c r="C2" s="2"/>
      <c r="D2" s="2"/>
      <c r="E2" s="2"/>
      <c r="F2" s="2"/>
      <c r="G2" s="2"/>
    </row>
    <row r="3" spans="1:7" ht="10" customHeight="1"/>
    <row r="4" spans="1:7" ht="50" customHeight="1">
      <c r="A4" s="3" t="s">
        <v>45</v>
      </c>
      <c r="B4" s="4" t="s">
        <v>46</v>
      </c>
      <c r="C4" s="4" t="s">
        <v>47</v>
      </c>
      <c r="D4" s="4" t="s">
        <v>48</v>
      </c>
      <c r="E4" s="4" t="s">
        <v>49</v>
      </c>
      <c r="F4" s="4" t="s">
        <v>50</v>
      </c>
      <c r="G4" s="4" t="s">
        <v>51</v>
      </c>
    </row>
    <row r="5" spans="1:7" ht="20" customHeight="1">
      <c r="A5" s="7" t="s">
        <v>52</v>
      </c>
      <c r="B5" s="18">
        <v>60000</v>
      </c>
      <c r="C5" s="18">
        <v>90000</v>
      </c>
      <c r="D5" s="18">
        <v>60000</v>
      </c>
      <c r="E5" s="19">
        <v>0</v>
      </c>
      <c r="F5" s="20">
        <f>SUM(B5:E5)</f>
        <v>210000</v>
      </c>
      <c r="G5" s="21" t="s">
        <v>53</v>
      </c>
    </row>
    <row r="6" spans="1:7" ht="20" customHeight="1">
      <c r="A6" s="9" t="s">
        <v>54</v>
      </c>
      <c r="B6" s="22">
        <v>240000</v>
      </c>
      <c r="C6" s="22">
        <v>0</v>
      </c>
      <c r="D6" s="22">
        <v>0</v>
      </c>
      <c r="E6" s="23">
        <v>0</v>
      </c>
      <c r="F6" s="24">
        <f>SUM(B6:E6)</f>
        <v>240000</v>
      </c>
      <c r="G6" s="25" t="s">
        <v>55</v>
      </c>
    </row>
    <row r="7" spans="1:7" ht="20" customHeight="1">
      <c r="A7" s="7" t="s">
        <v>56</v>
      </c>
      <c r="B7" s="18">
        <v>7000</v>
      </c>
      <c r="C7" s="18">
        <v>11000</v>
      </c>
      <c r="D7" s="18">
        <v>7000</v>
      </c>
      <c r="E7" s="19">
        <v>0</v>
      </c>
      <c r="F7" s="20">
        <f>SUM(B7:E7)</f>
        <v>25000</v>
      </c>
      <c r="G7" s="21" t="s">
        <v>57</v>
      </c>
    </row>
    <row r="8" spans="1:7" ht="20" customHeight="1">
      <c r="A8" s="9" t="s">
        <v>58</v>
      </c>
      <c r="B8" s="22">
        <v>40000</v>
      </c>
      <c r="C8" s="22">
        <v>20000</v>
      </c>
      <c r="D8" s="22">
        <v>0</v>
      </c>
      <c r="E8" s="23">
        <v>0</v>
      </c>
      <c r="F8" s="24">
        <f>SUM(B8:E8)</f>
        <v>60000</v>
      </c>
      <c r="G8" s="25" t="s">
        <v>59</v>
      </c>
    </row>
    <row r="9" spans="1:7" ht="20" customHeight="1">
      <c r="A9" s="7" t="s">
        <v>60</v>
      </c>
      <c r="B9" s="18">
        <v>2400</v>
      </c>
      <c r="C9" s="18">
        <v>0</v>
      </c>
      <c r="D9" s="18">
        <v>0</v>
      </c>
      <c r="E9" s="19">
        <v>0</v>
      </c>
      <c r="F9" s="20">
        <f>SUM(B9:E9)</f>
        <v>2400</v>
      </c>
      <c r="G9" s="21" t="s">
        <v>61</v>
      </c>
    </row>
    <row r="10" spans="1:7" ht="20" customHeight="1">
      <c r="A10" s="9" t="s">
        <v>62</v>
      </c>
      <c r="B10" s="22">
        <v>10000</v>
      </c>
      <c r="C10" s="22">
        <v>6000</v>
      </c>
      <c r="D10" s="22">
        <v>4000</v>
      </c>
      <c r="E10" s="23">
        <v>0</v>
      </c>
      <c r="F10" s="24">
        <f>SUM(B10:E10)</f>
        <v>20000</v>
      </c>
      <c r="G10" s="25" t="s">
        <v>63</v>
      </c>
    </row>
    <row r="11" spans="1:7" ht="20" customHeight="1">
      <c r="A11" s="7" t="s">
        <v>64</v>
      </c>
      <c r="B11" s="18">
        <v>8000</v>
      </c>
      <c r="C11" s="18">
        <v>3000</v>
      </c>
      <c r="D11" s="18">
        <v>0</v>
      </c>
      <c r="E11" s="19">
        <v>0</v>
      </c>
      <c r="F11" s="20">
        <f>SUM(B11:E11)</f>
        <v>11000</v>
      </c>
      <c r="G11" s="21" t="s">
        <v>65</v>
      </c>
    </row>
    <row r="12" spans="1:7" ht="20" customHeight="1">
      <c r="A12" s="9" t="s">
        <v>66</v>
      </c>
      <c r="B12" s="22">
        <v>3000</v>
      </c>
      <c r="C12" s="22">
        <v>4000</v>
      </c>
      <c r="D12" s="22">
        <v>3000</v>
      </c>
      <c r="E12" s="23">
        <v>0</v>
      </c>
      <c r="F12" s="24">
        <f>SUM(B12:E12)</f>
        <v>10000</v>
      </c>
      <c r="G12" s="25" t="s">
        <v>67</v>
      </c>
    </row>
    <row r="13" spans="1:7" ht="20" customHeight="1">
      <c r="A13" s="7" t="s">
        <v>68</v>
      </c>
      <c r="B13" s="18">
        <v>9000</v>
      </c>
      <c r="C13" s="18">
        <v>12000</v>
      </c>
      <c r="D13" s="18">
        <v>9000</v>
      </c>
      <c r="E13" s="19">
        <v>0</v>
      </c>
      <c r="F13" s="20">
        <f>SUM(B13:E13)</f>
        <v>30000</v>
      </c>
      <c r="G13" s="21" t="s">
        <v>67</v>
      </c>
    </row>
    <row r="14" spans="1:7" ht="20" customHeight="1">
      <c r="A14" s="9" t="s">
        <v>70</v>
      </c>
      <c r="B14" s="22">
        <v>36000</v>
      </c>
      <c r="C14" s="22">
        <v>18000</v>
      </c>
      <c r="D14" s="22">
        <v>0</v>
      </c>
      <c r="E14" s="23">
        <v>0</v>
      </c>
      <c r="F14" s="24">
        <f>SUM(B14:E14)</f>
        <v>54000</v>
      </c>
      <c r="G14" s="25" t="s">
        <v>81</v>
      </c>
    </row>
    <row r="15" spans="1:7" ht="20" customHeight="1">
      <c r="A15" s="26" t="s">
        <v>71</v>
      </c>
      <c r="B15" s="19">
        <v>0</v>
      </c>
      <c r="C15" s="19">
        <v>0</v>
      </c>
      <c r="D15" s="19">
        <v>0</v>
      </c>
      <c r="E15" s="8">
        <f>F16-SUM(B5:D14)</f>
        <v>67600</v>
      </c>
      <c r="F15" s="20">
        <f>SUM(B15:E15)</f>
        <v>67600</v>
      </c>
      <c r="G15" s="21" t="s">
        <v>72</v>
      </c>
    </row>
    <row r="16" spans="1:7" ht="26" customHeight="1">
      <c r="A16" s="5" t="s">
        <v>73</v>
      </c>
      <c r="B16" s="27">
        <f>SUM(B5:B15)</f>
        <v>415400</v>
      </c>
      <c r="C16" s="27">
        <f>SUM(C5:C15)</f>
        <v>164000</v>
      </c>
      <c r="D16" s="27">
        <f>SUM(D5:D15)</f>
        <v>83000</v>
      </c>
      <c r="E16" s="27">
        <f>SUM(E5:E15)</f>
        <v>67600</v>
      </c>
      <c r="F16" s="28">
        <v>730000</v>
      </c>
      <c r="G16" s="29" t="s">
        <v>74</v>
      </c>
    </row>
    <row r="17" spans="1:6">
      <c r="A17" s="11" t="s">
        <v>75</v>
      </c>
      <c r="B17" s="30">
        <f>B16/$F$16</f>
        <v>0.569041095890411</v>
      </c>
      <c r="C17" s="30">
        <f>C16/$F$16</f>
        <v>0.22465753424657534</v>
      </c>
      <c r="D17" s="30">
        <f>D16/$F$16</f>
        <v>0.1136986301369863</v>
      </c>
      <c r="E17" s="30">
        <f>E16/$F$16</f>
        <v>0.0926027397260274</v>
      </c>
      <c r="F17" s="30">
        <f>F16/$F$16</f>
        <v>1.0</v>
      </c>
    </row>
    <row r="19" spans="1:6">
      <c r="A19" s="17" t="s">
        <v>76</v>
      </c>
    </row>
    <row r="20" spans="1:6">
      <c r="A20" s="17" t="s">
        <v>77</v>
      </c>
    </row>
    <row r="21" spans="1:6">
      <c r="A21" s="17" t="s">
        <v>78</v>
      </c>
    </row>
  </sheetData>
  <mergeCells count="2">
    <mergeCell ref="A1:G1"/>
    <mergeCell ref="A2:G2"/>
  </mergeCells>
  <printOptions horizontalCentered="1"/>
  <pageMargins left="0.4" right="0.4" top="0.5" bottom="0.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E1116"/>
    <pageSetUpPr fitToPage="1"/>
  </sheetPr>
  <dimension ref="A1:D51"/>
  <sheetViews>
    <sheetView showGridLines="0" workbookViewId="0"/>
  </sheetViews>
  <sheetFormatPr defaultRowHeight="15"/>
  <cols>
    <col min="1" max="1" width="62.7109375" customWidth="1"/>
    <col min="2" max="4" width="14.7109375" customWidth="1"/>
  </cols>
  <sheetData>
    <row r="1" spans="1:4" ht="36" customHeight="1">
      <c r="A1" s="1" t="s">
        <v>0</v>
      </c>
      <c r="B1" s="1"/>
      <c r="C1" s="1"/>
      <c r="D1" s="1"/>
    </row>
    <row r="2" spans="1:4" ht="20" customHeight="1">
      <c r="A2" s="2" t="s">
        <v>1</v>
      </c>
      <c r="B2" s="2"/>
      <c r="C2" s="2"/>
      <c r="D2" s="2"/>
    </row>
    <row r="3" spans="1:4" ht="10" customHeight="1"/>
    <row r="4" spans="1:4" ht="24" customHeight="1">
      <c r="A4" s="31" t="s">
        <v>2</v>
      </c>
    </row>
    <row r="5" spans="1:4" ht="22" customHeight="1">
      <c r="A5" s="3" t="s">
        <v>3</v>
      </c>
      <c r="B5" s="4" t="s">
        <v>4</v>
      </c>
      <c r="C5" s="4" t="s">
        <v>5</v>
      </c>
      <c r="D5" s="4"/>
    </row>
    <row r="6" spans="1:4">
      <c r="A6" s="7" t="s">
        <v>6</v>
      </c>
      <c r="B6" s="32"/>
      <c r="C6" s="33">
        <v>36.7</v>
      </c>
      <c r="D6" s="32"/>
    </row>
    <row r="7" spans="1:4">
      <c r="A7" s="9" t="s">
        <v>7</v>
      </c>
      <c r="B7" s="34">
        <v>0.78</v>
      </c>
      <c r="C7" s="35">
        <f>C6*B7</f>
        <v>28.626000000000005</v>
      </c>
      <c r="D7" s="36"/>
    </row>
    <row r="8" spans="1:4">
      <c r="A8" s="7" t="s">
        <v>8</v>
      </c>
      <c r="B8" s="37">
        <v>0.06</v>
      </c>
      <c r="C8" s="38">
        <f>C7*(1-B8)</f>
        <v>26.908440000000002</v>
      </c>
      <c r="D8" s="32"/>
    </row>
    <row r="9" spans="1:4">
      <c r="A9" s="9" t="s">
        <v>9</v>
      </c>
      <c r="B9" s="34">
        <v>0.04</v>
      </c>
      <c r="C9" s="35">
        <f>C8*(1-B9)</f>
        <v>25.8321024</v>
      </c>
      <c r="D9" s="36"/>
    </row>
    <row r="10" spans="1:4">
      <c r="A10" s="7" t="s">
        <v>10</v>
      </c>
      <c r="B10" s="37">
        <v>0.3</v>
      </c>
      <c r="C10" s="38">
        <f>C9*(1-B10)</f>
        <v>18.082471679999998</v>
      </c>
      <c r="D10" s="32"/>
    </row>
    <row r="11" spans="1:4">
      <c r="A11" s="9" t="s">
        <v>11</v>
      </c>
      <c r="B11" s="34">
        <f>0.3*0.3</f>
        <v>0.09</v>
      </c>
      <c r="C11" s="35">
        <f>C10*(1-B11)</f>
        <v>16.4550492288</v>
      </c>
      <c r="D11" s="36"/>
    </row>
    <row r="12" spans="1:4">
      <c r="A12" s="39" t="s">
        <v>12</v>
      </c>
      <c r="B12" s="40"/>
      <c r="C12" s="41">
        <f>C11</f>
        <v>16.4550492288</v>
      </c>
      <c r="D12" s="40"/>
    </row>
    <row r="14" spans="1:4" ht="24" customHeight="1">
      <c r="A14" s="31" t="s">
        <v>13</v>
      </c>
    </row>
    <row r="15" spans="1:4" ht="22" customHeight="1">
      <c r="A15" s="3" t="s">
        <v>14</v>
      </c>
      <c r="B15" s="4" t="s">
        <v>15</v>
      </c>
      <c r="C15" s="4"/>
      <c r="D15" s="4"/>
    </row>
    <row r="16" spans="1:4">
      <c r="A16" s="7" t="s">
        <v>16</v>
      </c>
      <c r="B16" s="42">
        <v>3.6725</v>
      </c>
      <c r="C16" s="32"/>
      <c r="D16" s="32"/>
    </row>
    <row r="17" spans="1:4">
      <c r="A17" s="9" t="s">
        <v>17</v>
      </c>
      <c r="B17" s="43">
        <v>200000</v>
      </c>
      <c r="C17" s="36"/>
      <c r="D17" s="36"/>
    </row>
    <row r="18" spans="1:4">
      <c r="A18" s="7" t="s">
        <v>18</v>
      </c>
      <c r="B18" s="44">
        <v>5000</v>
      </c>
      <c r="C18" s="32"/>
      <c r="D18" s="32"/>
    </row>
    <row r="19" spans="1:4">
      <c r="A19" s="9" t="s">
        <v>19</v>
      </c>
      <c r="B19" s="43">
        <v>5000</v>
      </c>
      <c r="C19" s="36"/>
      <c r="D19" s="36"/>
    </row>
    <row r="20" spans="1:4">
      <c r="A20" s="7" t="s">
        <v>20</v>
      </c>
      <c r="B20" s="44">
        <v>5000</v>
      </c>
      <c r="C20" s="32"/>
      <c r="D20" s="32"/>
    </row>
    <row r="21" spans="1:4">
      <c r="A21" s="9" t="s">
        <v>21</v>
      </c>
      <c r="B21" s="43">
        <v>3</v>
      </c>
      <c r="C21" s="36"/>
      <c r="D21" s="36"/>
    </row>
    <row r="22" spans="1:4">
      <c r="A22" s="7" t="s">
        <v>22</v>
      </c>
      <c r="B22" s="44">
        <v>20000</v>
      </c>
      <c r="C22" s="32"/>
      <c r="D22" s="32"/>
    </row>
    <row r="23" spans="1:4">
      <c r="A23" s="9" t="s">
        <v>23</v>
      </c>
      <c r="B23" s="43">
        <v>11</v>
      </c>
      <c r="C23" s="36"/>
      <c r="D23" s="36"/>
    </row>
    <row r="24" spans="1:4">
      <c r="A24" s="7" t="s">
        <v>24</v>
      </c>
      <c r="B24" s="44">
        <v>1000</v>
      </c>
      <c r="C24" s="32"/>
      <c r="D24" s="32"/>
    </row>
    <row r="25" spans="1:4">
      <c r="A25" s="9" t="s">
        <v>25</v>
      </c>
      <c r="B25" s="43">
        <v>3</v>
      </c>
      <c r="C25" s="36"/>
      <c r="D25" s="36"/>
    </row>
    <row r="26" spans="1:4">
      <c r="A26" s="7" t="s">
        <v>26</v>
      </c>
      <c r="B26" s="44">
        <v>3000</v>
      </c>
      <c r="C26" s="32"/>
      <c r="D26" s="32"/>
    </row>
    <row r="27" spans="1:4">
      <c r="A27" s="9" t="s">
        <v>27</v>
      </c>
      <c r="B27" s="43">
        <v>6</v>
      </c>
      <c r="C27" s="36"/>
      <c r="D27" s="36"/>
    </row>
    <row r="29" spans="1:4" ht="24" customHeight="1">
      <c r="A29" s="31" t="s">
        <v>28</v>
      </c>
    </row>
    <row r="30" spans="1:4" ht="22" customHeight="1">
      <c r="A30" s="3" t="s">
        <v>29</v>
      </c>
      <c r="B30" s="4" t="s">
        <v>30</v>
      </c>
      <c r="C30" s="4" t="s">
        <v>31</v>
      </c>
      <c r="D30" s="4" t="s">
        <v>32</v>
      </c>
    </row>
    <row r="31" spans="1:4">
      <c r="A31" s="7" t="s">
        <v>33</v>
      </c>
      <c r="B31" s="18">
        <v>370</v>
      </c>
      <c r="C31" s="18">
        <v>2</v>
      </c>
      <c r="D31" s="8">
        <f>B31*C31*14</f>
        <v>10360</v>
      </c>
    </row>
    <row r="32" spans="1:4">
      <c r="A32" s="9" t="s">
        <v>34</v>
      </c>
      <c r="B32" s="22">
        <v>375</v>
      </c>
      <c r="C32" s="22">
        <v>2</v>
      </c>
      <c r="D32" s="10">
        <f>B32*C32*14</f>
        <v>10500</v>
      </c>
    </row>
    <row r="33" spans="1:4">
      <c r="A33" s="7" t="s">
        <v>35</v>
      </c>
      <c r="B33" s="18">
        <v>75</v>
      </c>
      <c r="C33" s="18">
        <v>1</v>
      </c>
      <c r="D33" s="8">
        <f>B33*C33*14</f>
        <v>1050</v>
      </c>
    </row>
    <row r="34" spans="1:4">
      <c r="A34" s="9" t="s">
        <v>36</v>
      </c>
      <c r="B34" s="22">
        <v>26</v>
      </c>
      <c r="C34" s="22">
        <v>3</v>
      </c>
      <c r="D34" s="10">
        <f>B34*C34*14</f>
        <v>1092</v>
      </c>
    </row>
    <row r="35" spans="1:4">
      <c r="A35" s="7" t="s">
        <v>37</v>
      </c>
      <c r="B35" s="18">
        <v>75</v>
      </c>
      <c r="C35" s="18">
        <v>1</v>
      </c>
      <c r="D35" s="8">
        <f>B35*C35*14</f>
        <v>1050</v>
      </c>
    </row>
    <row r="36" spans="1:4">
      <c r="A36" s="9" t="s">
        <v>38</v>
      </c>
      <c r="B36" s="22">
        <v>100</v>
      </c>
      <c r="C36" s="45" t="s">
        <v>39</v>
      </c>
      <c r="D36" s="10">
        <f>B36*14/12</f>
        <v>116.66666666666667</v>
      </c>
    </row>
    <row r="37" spans="1:4">
      <c r="A37" s="13" t="s">
        <v>40</v>
      </c>
      <c r="B37" s="46"/>
      <c r="C37" s="46"/>
      <c r="D37" s="47">
        <f>SUM(D31:D36)</f>
        <v>24168.666666666668</v>
      </c>
    </row>
    <row r="38" spans="1:4">
      <c r="A38" s="39" t="s">
        <v>41</v>
      </c>
      <c r="B38" s="40"/>
      <c r="C38" s="40"/>
      <c r="D38" s="48">
        <v>25000</v>
      </c>
    </row>
    <row r="39" spans="1:4">
      <c r="A39" s="17" t="s">
        <v>42</v>
      </c>
    </row>
    <row r="41" spans="1:4" ht="24" customHeight="1">
      <c r="A41" s="31" t="s">
        <v>82</v>
      </c>
    </row>
    <row r="42" spans="1:4" ht="22" customHeight="1">
      <c r="A42" s="3" t="s">
        <v>83</v>
      </c>
      <c r="B42" s="4" t="s">
        <v>84</v>
      </c>
      <c r="C42" s="4" t="s">
        <v>85</v>
      </c>
      <c r="D42" s="4" t="s">
        <v>86</v>
      </c>
    </row>
    <row r="43" spans="1:4">
      <c r="A43" s="7" t="s">
        <v>87</v>
      </c>
      <c r="B43" s="49" t="str">
        <f>IF('Lean'!$F$5=(Assumptions!$B$18+Assumptions!$B$19+Assumptions!$B$20)*14,"OK","CHECK")</f>
        <v>OK</v>
      </c>
      <c r="C43" s="49" t="str">
        <f>IF('Standard'!$F$5=(Assumptions!$B$18+Assumptions!$B$19+Assumptions!$B$20)*14,"OK","CHECK")</f>
        <v>OK</v>
      </c>
      <c r="D43" s="49" t="str">
        <f>IF('Max'!$F$5=(Assumptions!$B$18+Assumptions!$B$19+Assumptions!$B$20)*14,"OK","CHECK")</f>
        <v>OK</v>
      </c>
    </row>
    <row r="44" spans="1:4">
      <c r="A44" s="9" t="s">
        <v>88</v>
      </c>
      <c r="B44" s="50" t="str">
        <f>IF('Lean'!$F$7=Assumptions!$D$38,"OK","CHECK")</f>
        <v>OK</v>
      </c>
      <c r="C44" s="50" t="str">
        <f>IF('Standard'!$F$7=Assumptions!$D$38,"OK","CHECK")</f>
        <v>OK</v>
      </c>
      <c r="D44" s="50" t="str">
        <f>IF('Max'!$F$7=Assumptions!$D$38,"OK","CHECK")</f>
        <v>OK</v>
      </c>
    </row>
    <row r="45" spans="1:4">
      <c r="A45" s="7" t="s">
        <v>89</v>
      </c>
      <c r="B45" s="49" t="str">
        <f>IF(Assumptions!$D$38&gt;=Assumptions!$D$37,"OK","CHECK")</f>
        <v>OK</v>
      </c>
      <c r="C45" s="49" t="str">
        <f>IF(Assumptions!$D$38&gt;=Assumptions!$D$37,"OK","CHECK")</f>
        <v>OK</v>
      </c>
      <c r="D45" s="49" t="str">
        <f>IF(Assumptions!$D$38&gt;=Assumptions!$D$37,"OK","CHECK")</f>
        <v>OK</v>
      </c>
    </row>
    <row r="46" spans="1:4">
      <c r="A46" s="9" t="s">
        <v>90</v>
      </c>
      <c r="B46" s="50" t="str">
        <f>IF('Lean'!$F$8=Assumptions!$B$21*Assumptions!$B$22,"OK","CHECK")</f>
        <v>OK</v>
      </c>
      <c r="C46" s="50" t="str">
        <f>IF('Standard'!$F$8=Assumptions!$B$21*Assumptions!$B$22,"OK","CHECK")</f>
        <v>OK</v>
      </c>
      <c r="D46" s="50" t="str">
        <f>IF('Max'!$F$8=Assumptions!$B$21*Assumptions!$B$22,"OK","CHECK")</f>
        <v>OK</v>
      </c>
    </row>
    <row r="47" spans="1:4">
      <c r="A47" s="7" t="s">
        <v>91</v>
      </c>
      <c r="B47" s="49" t="str">
        <f>IF('Lean'!$F$11=Assumptions!$B$23*Assumptions!$B$24,"OK","CHECK")</f>
        <v>OK</v>
      </c>
      <c r="C47" s="49" t="str">
        <f>IF('Standard'!$F$11=Assumptions!$B$23*Assumptions!$B$24,"OK","CHECK")</f>
        <v>OK</v>
      </c>
      <c r="D47" s="49" t="str">
        <f>IF('Max'!$F$11=Assumptions!$B$23*Assumptions!$B$24,"OK","CHECK")</f>
        <v>OK</v>
      </c>
    </row>
    <row r="48" spans="1:4">
      <c r="A48" s="9" t="s">
        <v>92</v>
      </c>
      <c r="B48" s="50" t="str">
        <f>IF('Lean'!$F$14=0,"OK","CHECK")</f>
        <v>OK</v>
      </c>
      <c r="C48" s="50" t="str">
        <f>IF('Standard'!$F$14=0,"OK","CHECK")</f>
        <v>OK</v>
      </c>
      <c r="D48" s="50" t="str">
        <f>IF('Max'!$F$14=Assumptions!$B$25*Assumptions!$B$26*Assumptions!$B$27,"OK","CHECK")</f>
        <v>OK</v>
      </c>
    </row>
    <row r="49" spans="1:4">
      <c r="A49" s="7" t="s">
        <v>93</v>
      </c>
      <c r="B49" s="49" t="str">
        <f>IF(AND('Lean'!$E$16/SUM('Lean'!$B$16:'Lean'!$D$16)&gt;=0.09,'Lean'!$E$16/SUM('Lean'!$B$16:'Lean'!$D$16)&lt;=0.11),"OK","CHECK")</f>
        <v>OK</v>
      </c>
      <c r="C49" s="49" t="str">
        <f>IF(AND('Standard'!$E$16/SUM('Standard'!$B$16:'Standard'!$D$16)&gt;=0.09,'Standard'!$E$16/SUM('Standard'!$B$16:'Standard'!$D$16)&lt;=0.11),"OK","CHECK")</f>
        <v>OK</v>
      </c>
      <c r="D49" s="49" t="str">
        <f>IF(AND('Max'!$E$16/SUM('Max'!$B$16:'Max'!$D$16)&gt;=0.09,'Max'!$E$16/SUM('Max'!$B$16:'Max'!$D$16)&lt;=0.11),"OK","CHECK")</f>
        <v>OK</v>
      </c>
    </row>
    <row r="50" spans="1:4">
      <c r="A50" s="9" t="s">
        <v>94</v>
      </c>
      <c r="B50" s="50" t="str">
        <f>IF(SUM('Lean'!$B$16:'Lean'!$E$16)='Lean'!$F$16,"OK","CHECK")</f>
        <v>OK</v>
      </c>
      <c r="C50" s="50" t="str">
        <f>IF(SUM('Standard'!$B$16:'Standard'!$E$16)='Standard'!$F$16,"OK","CHECK")</f>
        <v>OK</v>
      </c>
      <c r="D50" s="50" t="str">
        <f>IF(SUM('Max'!$B$16:'Max'!$E$16)='Max'!$F$16,"OK","CHECK")</f>
        <v>OK</v>
      </c>
    </row>
    <row r="51" spans="1:4">
      <c r="A51" s="7" t="s">
        <v>95</v>
      </c>
      <c r="B51" s="49" t="str">
        <f>IF('Lean'!$F$16/Assumptions!$B$16&lt;Assumptions!$B$17,"OK","CHECK")</f>
        <v>OK</v>
      </c>
      <c r="C51" s="49" t="str">
        <f>IF('Standard'!$F$16/Assumptions!$B$16&lt;Assumptions!$B$17,"OK","CHECK")</f>
        <v>OK</v>
      </c>
      <c r="D51" s="49" t="str">
        <f>IF('Max'!$F$16/Assumptions!$B$16&lt;Assumptions!$B$17,"OK","CHECK")</f>
        <v>OK</v>
      </c>
    </row>
  </sheetData>
  <mergeCells count="2">
    <mergeCell ref="A1:D1"/>
    <mergeCell ref="A2:D2"/>
  </mergeCells>
  <conditionalFormatting sqref="B43:D51">
    <cfRule type="cellIs" dxfId="0" priority="1" operator="equal">
      <formula>"OK"</formula>
    </cfRule>
    <cfRule type="cellIs" dxfId="1" priority="2" operator="equal">
      <formula>"CHECK"</formula>
    </cfRule>
  </conditionalFormatting>
  <printOptions horizontalCentered="1"/>
  <pageMargins left="0.4" right="0.4" top="0.5" bottom="0.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Lean</vt:lpstr>
      <vt:lpstr>Standard</vt:lpstr>
      <vt:lpstr>Max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2026-10-18T11:10:13Z</dcterms:created>
  <dcterms:modified xsi:type="dcterms:W3CDTF">2026-10-18T11:10:13Z</dcterms:modified>
</cp:coreProperties>
</file>