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ssumptions" sheetId="1" r:id="rId1"/>
    <sheet name="Budget" sheetId="2" r:id="rId2"/>
    <sheet name="Three-year summary" sheetId="3" r:id="rId3"/>
    <sheet name="Monthly" sheetId="4" r:id="rId4"/>
  </sheets>
  <calcPr calcId="191029" fullCalcOnLoad="1"/>
</workbook>
</file>

<file path=xl/styles.xml><?xml version="1.0" encoding="utf-8"?>
<styleSheet xmlns="http://schemas.openxmlformats.org/spreadsheetml/2006/main">
  <numFmts count="5">
    <numFmt numFmtId="164" formatCode="#,##0"/>
    <numFmt numFmtId="165" formatCode="#,##0.00"/>
    <numFmt numFmtId="166" formatCode="0.0000"/>
    <numFmt numFmtId="167" formatCode="&quot;$&quot;#,##0"/>
    <numFmt numFmtId="168" formatCode="&quot;$&quot;#,##0.00"/>
  </numFmts>
  <fonts count="4">
    <font>
      <sz val="11"/>
      <name val="Calibri"/>
    </font>
    <font>
      <b/>
      <sz val="11"/>
      <name val="Calibri"/>
    </font>
    <font>
      <b/>
      <sz val="14"/>
      <name val="Calibri"/>
    </font>
    <font>
      <i/>
      <sz val="10"/>
      <color rgb="FF55555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4E8EC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164" fontId="1" fillId="0" borderId="0" xfId="0" applyNumberFormat="1" applyFont="1"/>
    <xf numFmtId="0" fontId="1" fillId="2" borderId="0" xfId="0" applyFont="1" applyFill="1" applyAlignment="1">
      <alignment wrapText="1" vertical="top"/>
    </xf>
    <xf numFmtId="0" fontId="0" fillId="0" borderId="0" xfId="0" applyAlignment="1">
      <alignment wrapText="1" vertical="top"/>
    </xf>
    <xf numFmtId="0" fontId="2" fillId="0" borderId="0" xfId="0" applyFont="1"/>
    <xf numFmtId="0" fontId="3" fillId="0" borderId="0" xfId="0" applyFont="1" applyAlignment="1">
      <alignment wrapText="1" vertical="top"/>
    </xf>
    <xf numFmtId="164" fontId="0" fillId="3" borderId="0" xfId="0" applyNumberFormat="1" applyFill="1"/>
    <xf numFmtId="165" fontId="0" fillId="3" borderId="0" xfId="0" applyNumberFormat="1" applyFill="1"/>
    <xf numFmtId="9" fontId="0" fillId="3" borderId="0" xfId="0" applyNumberFormat="1" applyFill="1"/>
    <xf numFmtId="166" fontId="0" fillId="3" borderId="0" xfId="0" applyNumberFormat="1" applyFill="1"/>
    <xf numFmtId="167" fontId="0" fillId="0" borderId="0" xfId="0" applyNumberFormat="1"/>
    <xf numFmtId="168" fontId="0" fillId="0" borderId="0" xfId="0" applyNumberFormat="1"/>
    <xf numFmtId="167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6" customWidth="1"/>
    <col min="2" max="2" width="14" customWidth="1"/>
    <col min="3" max="3" width="14" customWidth="1"/>
    <col min="4" max="4" width="14" customWidth="1"/>
    <col min="5" max="5" width="60" customWidth="1"/>
  </cols>
  <sheetData>
    <row r="1">
      <c r="A1" s="8" t="inlineStr">
        <is>
          <t xml:space="preserve">Sarab Studio · ABANDONED · financial workbook</t>
        </is>
      </c>
    </row>
    <row r="2">
      <c r="A2" s="9" t="inlineStr">
        <is>
          <t xml:space="preserve">Money is in AED, with US dollars beside it at the fixed rate in B32 (AED 3.6725 to the dollar). Yellow cells are inputs: change one and the price, revenue, cash and payback figures recalculate. Estimates, not audited.</t>
        </is>
      </c>
    </row>
    <row r="4">
      <c r="A4" s="6" t="inlineStr">
        <is>
          <t xml:space="preserve">Price to net</t>
        </is>
      </c>
      <c r="B4" s="6" t="inlineStr">
        <is>
          <t xml:space="preserve">Value</t>
        </is>
      </c>
      <c r="E4" s="6" t="inlineStr">
        <is>
          <t xml:space="preserve">Note</t>
        </is>
      </c>
    </row>
    <row r="5">
      <c r="A5" s="0" t="inlineStr">
        <is>
          <t xml:space="preserve">List price</t>
        </is>
      </c>
      <c r="B5" s="11">
        <v>36.7</v>
      </c>
      <c r="E5" s="9" t="inlineStr">
        <is>
          <t xml:space="preserve">One-time purchase</t>
        </is>
      </c>
    </row>
    <row r="6">
      <c r="A6" s="0" t="inlineStr">
        <is>
          <t xml:space="preserve">Average sale after regional prices and discounts</t>
        </is>
      </c>
      <c r="B6" s="12">
        <v>0.78</v>
      </c>
      <c r="E6" s="9" t="inlineStr">
        <is>
          <t xml:space="preserve">Share of list price</t>
        </is>
      </c>
    </row>
    <row r="7">
      <c r="A7" s="0" t="inlineStr">
        <is>
          <t xml:space="preserve">Sales tax and VAT inside the price</t>
        </is>
      </c>
      <c r="B7" s="12">
        <v>0.06</v>
      </c>
      <c r="E7" s="9"/>
    </row>
    <row r="8">
      <c r="A8" s="0" t="inlineStr">
        <is>
          <t xml:space="preserve">Refunds</t>
        </is>
      </c>
      <c r="B8" s="12">
        <v>0.04</v>
      </c>
      <c r="E8" s="9"/>
    </row>
    <row r="9">
      <c r="A9" s="0" t="inlineStr">
        <is>
          <t xml:space="preserve">Steam's share</t>
        </is>
      </c>
      <c r="B9" s="12">
        <v>0.3</v>
      </c>
      <c r="E9" s="9"/>
    </row>
    <row r="10">
      <c r="A10" s="0" t="inlineStr">
        <is>
          <t xml:space="preserve">US buyers, share of revenue</t>
        </is>
      </c>
      <c r="B10" s="12">
        <v>0.3</v>
      </c>
      <c r="E10" s="9" t="inlineStr">
        <is>
          <t xml:space="preserve">Assumption</t>
        </is>
      </c>
    </row>
    <row r="11">
      <c r="A11" s="0" t="inlineStr">
        <is>
          <t xml:space="preserve">US tax withheld on US sales</t>
        </is>
      </c>
      <c r="B11" s="12">
        <v>0.3</v>
      </c>
      <c r="E11" s="9" t="inlineStr">
        <is>
          <t xml:space="preserve">No US–UAE income tax treaty, so Valve withholds 30%</t>
        </is>
      </c>
    </row>
    <row r="12">
      <c r="A12" s="1" t="inlineStr">
        <is>
          <t xml:space="preserve">What the studio keeps per copy</t>
        </is>
      </c>
      <c r="B12" s="3">
        <f>B5*B6*(1-B7)*(1-B8)*(1-B9)*(1-B10*B11)</f>
        <v>16.455</v>
      </c>
    </row>
    <row r="13">
      <c r="A13" s="0" t="inlineStr">
        <is>
          <t xml:space="preserve">DLC price</t>
        </is>
      </c>
      <c r="B13" s="11">
        <v>18.35</v>
      </c>
    </row>
    <row r="14">
      <c r="A14" s="1" t="inlineStr">
        <is>
          <t xml:space="preserve">What the studio keeps per DLC copy</t>
        </is>
      </c>
      <c r="B14" s="3">
        <f>B13*B12/B5</f>
        <v>8.2275</v>
      </c>
    </row>
    <row r="16">
      <c r="A16" s="6" t="inlineStr">
        <is>
          <t xml:space="preserve">Scenarios</t>
        </is>
      </c>
      <c r="B16" s="6" t="inlineStr">
        <is>
          <t xml:space="preserve">Downside</t>
        </is>
      </c>
      <c r="C16" s="6" t="inlineStr">
        <is>
          <t xml:space="preserve">Base</t>
        </is>
      </c>
      <c r="D16" s="6" t="inlineStr">
        <is>
          <t xml:space="preserve">Upside</t>
        </is>
      </c>
    </row>
    <row r="17">
      <c r="A17" s="0" t="inlineStr">
        <is>
          <t xml:space="preserve">Wishlists at launch</t>
        </is>
      </c>
      <c r="B17" s="10">
        <v>5000</v>
      </c>
      <c r="C17" s="10">
        <v>15000</v>
      </c>
      <c r="D17" s="10">
        <v>60000</v>
      </c>
    </row>
    <row r="18">
      <c r="A18" s="0" t="inlineStr">
        <is>
          <t xml:space="preserve">Copies in year one</t>
        </is>
      </c>
      <c r="B18" s="10">
        <v>8000</v>
      </c>
      <c r="C18" s="10">
        <v>30000</v>
      </c>
      <c r="D18" s="10">
        <v>150000</v>
      </c>
    </row>
    <row r="23">
      <c r="A23" s="0" t="inlineStr">
        <is>
          <t xml:space="preserve">Year-two copies, share of year one</t>
        </is>
      </c>
      <c r="B23" s="12">
        <v>0.35</v>
      </c>
    </row>
    <row r="24">
      <c r="A24" s="0" t="inlineStr">
        <is>
          <t xml:space="preserve">Year-three copies, share of year one</t>
        </is>
      </c>
      <c r="B24" s="12">
        <v>0.15</v>
      </c>
    </row>
    <row r="25">
      <c r="A25" s="0" t="inlineStr">
        <is>
          <t xml:space="preserve">Steam pays</t>
        </is>
      </c>
      <c r="B25" s="0" t="inlineStr">
        <is>
          <t xml:space="preserve">About 30 days after each month's sales</t>
        </is>
      </c>
    </row>
    <row r="27">
      <c r="A27" s="6" t="inlineStr">
        <is>
          <t xml:space="preserve">Break-even</t>
        </is>
      </c>
      <c r="B27" s="6" t="inlineStr">
        <is>
          <t xml:space="preserve">AED</t>
        </is>
      </c>
    </row>
    <row r="28">
      <c r="A28" s="0" t="inlineStr">
        <is>
          <t xml:space="preserve">Plan total</t>
        </is>
      </c>
      <c r="B28" s="2">
        <f>Budget!B15</f>
        <v>308100</v>
      </c>
    </row>
    <row r="29">
      <c r="A29" s="1" t="inlineStr">
        <is>
          <t xml:space="preserve">Copies to repay the plan</t>
        </is>
      </c>
      <c r="B29" s="5">
        <f>B28/B12</f>
        <v>18724</v>
      </c>
    </row>
    <row r="31">
      <c r="A31" s="6" t="inlineStr">
        <is>
          <t xml:space="preserve">US dollars</t>
        </is>
      </c>
      <c r="B31" s="6" t="inlineStr">
        <is>
          <t xml:space="preserve">AED</t>
        </is>
      </c>
      <c r="C31" s="6" t="inlineStr">
        <is>
          <t xml:space="preserve">USD</t>
        </is>
      </c>
      <c r="E31" s="9" t="inlineStr">
        <is>
          <t xml:space="preserve">The dirham is pegged to the dollar, so this rate does not move</t>
        </is>
      </c>
    </row>
    <row r="32">
      <c r="A32" s="0" t="inlineStr">
        <is>
          <t xml:space="preserve">AED per US dollar (fixed rate)</t>
        </is>
      </c>
      <c r="B32" s="13">
        <v>3.6725</v>
      </c>
    </row>
    <row r="33">
      <c r="A33" s="0" t="inlineStr">
        <is>
          <t xml:space="preserve">List price</t>
        </is>
      </c>
      <c r="B33" s="3">
        <f>B5</f>
        <v>36.7</v>
      </c>
      <c r="C33" s="15">
        <f>B33/$B$32</f>
        <v>9.9932</v>
      </c>
    </row>
    <row r="34">
      <c r="A34" s="0" t="inlineStr">
        <is>
          <t xml:space="preserve">What the studio keeps per copy</t>
        </is>
      </c>
      <c r="B34" s="3">
        <f>B12</f>
        <v>16.455</v>
      </c>
      <c r="C34" s="15">
        <f>B34/$B$32</f>
        <v>4.4806</v>
      </c>
    </row>
    <row r="35">
      <c r="A35" s="0" t="inlineStr">
        <is>
          <t xml:space="preserve">DLC price</t>
        </is>
      </c>
      <c r="B35" s="3">
        <f>B13</f>
        <v>18.35</v>
      </c>
      <c r="C35" s="15">
        <f>B35/$B$32</f>
        <v>4.9966</v>
      </c>
    </row>
    <row r="36">
      <c r="A36" s="0" t="inlineStr">
        <is>
          <t xml:space="preserve">What the studio keeps per DLC copy</t>
        </is>
      </c>
      <c r="B36" s="3">
        <f>B14</f>
        <v>8.2275</v>
      </c>
      <c r="C36" s="15">
        <f>B36/$B$32</f>
        <v>2.2403</v>
      </c>
    </row>
    <row r="37">
      <c r="A37" s="0" t="inlineStr">
        <is>
          <t xml:space="preserve">Plan total</t>
        </is>
      </c>
      <c r="B37" s="2">
        <f>B28</f>
        <v>308100</v>
      </c>
      <c r="C37" s="14">
        <f>B37/$B$32</f>
        <v>83893.8053</v>
      </c>
    </row>
  </sheetData>
</worksheet>
</file>

<file path=xl/worksheets/sheet2.xml><?xml version="1.0" encoding="utf-8"?>
<worksheet xmlns="http://schemas.openxmlformats.org/spreadsheetml/2006/main">
  <cols>
    <col min="1" max="1" width="32" customWidth="1"/>
    <col min="2" max="2" width="13" customWidth="1"/>
    <col min="3" max="3" width="13" customWidth="1"/>
    <col min="4" max="4" width="80" customWidth="1"/>
  </cols>
  <sheetData>
    <row r="1">
      <c r="A1" s="8" t="inlineStr">
        <is>
          <t xml:space="preserve">Budget line by line, November 2026 to December 2027 (AED, with US dollars)</t>
        </is>
      </c>
    </row>
    <row r="2">
      <c r="A2" s="6" t="inlineStr">
        <is>
          <t xml:space="preserve">Line</t>
        </is>
      </c>
      <c r="B2" s="6" t="inlineStr">
        <is>
          <t xml:space="preserve">AED</t>
        </is>
      </c>
      <c r="C2" s="6" t="inlineStr">
        <is>
          <t xml:space="preserve">USD</t>
        </is>
      </c>
      <c r="D2" s="6" t="inlineStr">
        <is>
          <t xml:space="preserve">What it covers</t>
        </is>
      </c>
    </row>
    <row r="3">
      <c r="A3" s="0" t="inlineStr">
        <is>
          <t xml:space="preserve">Founders</t>
        </is>
      </c>
      <c r="B3" s="2">
        <v>127300</v>
      </c>
      <c r="C3" s="14">
        <f>B3/Assumptions!$B$32</f>
        <v>34663.04</v>
      </c>
      <c r="D3" s="7" t="inlineStr">
        <is>
          <t xml:space="preserve">Zeyad and Yousef: 30,000 with tranche 1 and 20,000 with tranche 3, each. Jihad: 16,400 and 10,900</t>
        </is>
      </c>
    </row>
    <row r="4">
      <c r="A4" s="0" t="inlineStr">
        <is>
          <t xml:space="preserve">UAE interns, 6 months</t>
        </is>
      </c>
      <c r="B4" s="2">
        <v>30000</v>
      </c>
      <c r="C4" s="14">
        <f>B4/Assumptions!$B$32</f>
        <v>8168.82</v>
      </c>
      <c r="D4" s="7" t="inlineStr">
        <is>
          <t xml:space="preserve">2 interns at 2,500 a month each, November to April</t>
        </is>
      </c>
    </row>
    <row r="5">
      <c r="A5" s="0" t="inlineStr">
        <is>
          <t xml:space="preserve">Company setup</t>
        </is>
      </c>
      <c r="B5" s="2">
        <v>10000</v>
      </c>
      <c r="C5" s="14">
        <f>B5/Assumptions!$B$32</f>
        <v>2722.94</v>
      </c>
      <c r="D5" s="7" t="inlineStr">
        <is>
          <t xml:space="preserve">Registration, visa and government fees, a desk if needed; twofour54 waives licence and registration fees for two years</t>
        </is>
      </c>
    </row>
    <row r="6">
      <c r="A6" s="0" t="inlineStr">
        <is>
          <t xml:space="preserve">Legal and accounting</t>
        </is>
      </c>
      <c r="B6" s="2">
        <v>11000</v>
      </c>
      <c r="C6" s="14">
        <f>B6/Assumptions!$B$32</f>
        <v>2995.23</v>
      </c>
      <c r="D6" s="7" t="inlineStr">
        <is>
          <t xml:space="preserve">Shareholder agreement, corporate tax registration, bookkeeping</t>
        </is>
      </c>
    </row>
    <row r="7">
      <c r="A7" s="0" t="inlineStr">
        <is>
          <t xml:space="preserve">Test hardware</t>
        </is>
      </c>
      <c r="B7" s="2">
        <v>5500</v>
      </c>
      <c r="C7" s="14">
        <f>B7/Assumptions!$B$32</f>
        <v>1497.62</v>
      </c>
      <c r="D7" s="7" t="inlineStr">
        <is>
          <t xml:space="preserve">A Windows test PC</t>
        </is>
      </c>
    </row>
    <row r="8">
      <c r="A8" s="0" t="inlineStr">
        <is>
          <t xml:space="preserve">Software and fees</t>
        </is>
      </c>
      <c r="B8" s="2">
        <v>15900</v>
      </c>
      <c r="C8" s="14">
        <f>B8/Assumptions!$B$32</f>
        <v>4329.48</v>
      </c>
      <c r="D8" s="7" t="inlineStr">
        <is>
          <t xml:space="preserve">Claude, Codex through ChatGPT, Google Workspace, the domain, the Steam Direct fee</t>
        </is>
      </c>
    </row>
    <row r="9">
      <c r="A9" s="0" t="inlineStr">
        <is>
          <t xml:space="preserve">Localization</t>
        </is>
      </c>
      <c r="B9" s="2">
        <v>6600</v>
      </c>
      <c r="C9" s="14">
        <f>B9/Assumptions!$B$32</f>
        <v>1797.14</v>
      </c>
      <c r="D9" s="7" t="inlineStr">
        <is>
          <t xml:space="preserve">Native-speaker review of the translations; an Arabic proofread</t>
        </is>
      </c>
    </row>
    <row r="10">
      <c r="A10" s="0" t="inlineStr">
        <is>
          <t xml:space="preserve">QA and playtesting</t>
        </is>
      </c>
      <c r="B10" s="2">
        <v>1800</v>
      </c>
      <c r="C10" s="14">
        <f>B10/Assumptions!$B$32</f>
        <v>490.13</v>
      </c>
      <c r="D10" s="7" t="inlineStr">
        <is>
          <t xml:space="preserve">Playtest sessions</t>
        </is>
      </c>
    </row>
    <row r="11">
      <c r="A11" s="0" t="inlineStr">
        <is>
          <t xml:space="preserve">Marketing</t>
        </is>
      </c>
      <c r="B11" s="2">
        <v>70200</v>
      </c>
      <c r="C11" s="14">
        <f>B11/Assumptions!$B$32</f>
        <v>19115.04</v>
      </c>
      <c r="D11" s="7" t="inlineStr">
        <is>
          <t xml:space="preserve">The marketing plan in the business plan, section 7</t>
        </is>
      </c>
    </row>
    <row r="12">
      <c r="A12" s="0" t="inlineStr">
        <is>
          <t xml:space="preserve">Events</t>
        </is>
      </c>
      <c r="B12" s="2">
        <v>1800</v>
      </c>
      <c r="C12" s="14">
        <f>B12/Assumptions!$B$32</f>
        <v>490.13</v>
      </c>
      <c r="D12" s="7" t="inlineStr">
        <is>
          <t xml:space="preserve">Showcase materials</t>
        </is>
      </c>
    </row>
    <row r="13">
      <c r="A13" s="0" t="inlineStr">
        <is>
          <t xml:space="preserve">Contingency</t>
        </is>
      </c>
      <c r="B13" s="2">
        <v>28000</v>
      </c>
      <c r="C13" s="14">
        <f>B13/Assumptions!$B$32</f>
        <v>7624.23</v>
      </c>
      <c r="D13" s="7" t="inlineStr">
        <is>
          <t xml:space="preserve">Held in reserve (about 9%); released only against agreed overruns</t>
        </is>
      </c>
    </row>
    <row r="14">
      <c r="A14" s="1" t="inlineStr">
        <is>
          <t xml:space="preserve">Total</t>
        </is>
      </c>
      <c r="B14" s="5">
        <f>SUM(B3:B13)</f>
        <v>308100</v>
      </c>
      <c r="C14" s="16">
        <f>B14/Assumptions!$B$32</f>
        <v>83893.81</v>
      </c>
    </row>
    <row r="15">
      <c r="A15" s="0" t="inlineStr">
        <is>
          <t xml:space="preserve">Total (referenced by other sheets)</t>
        </is>
      </c>
      <c r="B15" s="2">
        <f>B14</f>
        <v>308100</v>
      </c>
    </row>
    <row r="17">
      <c r="A17" s="6" t="inlineStr">
        <is>
          <t xml:space="preserve">Tranches</t>
        </is>
      </c>
      <c r="B17" s="6" t="inlineStr">
        <is>
          <t xml:space="preserve">AED</t>
        </is>
      </c>
      <c r="C17" s="6" t="inlineStr">
        <is>
          <t xml:space="preserve">USD</t>
        </is>
      </c>
      <c r="D17" s="6" t="inlineStr">
        <is>
          <t xml:space="preserve">Released when</t>
        </is>
      </c>
    </row>
    <row r="18">
      <c r="A18" s="0" t="inlineStr">
        <is>
          <t xml:space="preserve">1: November 2026 to February 2027</t>
        </is>
      </c>
      <c r="B18" s="2">
        <v>185330</v>
      </c>
      <c r="C18" s="14">
        <f>B18/Assumptions!$B$32</f>
        <v>50464.26</v>
      </c>
      <c r="D18" s="7" t="inlineStr">
        <is>
          <t xml:space="preserve">At signing</t>
        </is>
      </c>
    </row>
    <row r="19">
      <c r="A19" s="0" t="inlineStr">
        <is>
          <t xml:space="preserve">2: March to August 2027</t>
        </is>
      </c>
      <c r="B19" s="2">
        <v>35122</v>
      </c>
      <c r="C19" s="14">
        <f>B19/Assumptions!$B$32</f>
        <v>9563.51</v>
      </c>
      <c r="D19" s="7" t="inlineStr">
        <is>
          <t xml:space="preserve">End of February 2027, if at least 10,000 copies sold and reviews at least 75% positive</t>
        </is>
      </c>
    </row>
    <row r="20">
      <c r="A20" s="0" t="inlineStr">
        <is>
          <t xml:space="preserve">3: September to December 2027</t>
        </is>
      </c>
      <c r="B20" s="2">
        <v>59648</v>
      </c>
      <c r="C20" s="14">
        <f>B20/Assumptions!$B$32</f>
        <v>16241.8</v>
      </c>
      <c r="D20" s="7" t="inlineStr">
        <is>
          <t xml:space="preserve">After the third DLC ships, if at least 20,000 copies sold</t>
        </is>
      </c>
    </row>
    <row r="21">
      <c r="A21" s="0" t="inlineStr">
        <is>
          <t xml:space="preserve">Reserve</t>
        </is>
      </c>
      <c r="B21" s="2">
        <v>28000</v>
      </c>
      <c r="C21" s="14">
        <f>B21/Assumptions!$B$32</f>
        <v>7624.23</v>
      </c>
      <c r="D21" s="7" t="inlineStr">
        <is>
          <t xml:space="preserve">Only against overruns agreed with the investor</t>
        </is>
      </c>
    </row>
    <row r="22">
      <c r="A22" s="1" t="inlineStr">
        <is>
          <t xml:space="preserve">Total</t>
        </is>
      </c>
      <c r="B22" s="5">
        <f>SUM(B18:B21)</f>
        <v>308100</v>
      </c>
      <c r="C22" s="16">
        <f>B22/Assumptions!$B$32</f>
        <v>83893.81</v>
      </c>
    </row>
    <row r="24">
      <c r="A24" s="6" t="inlineStr">
        <is>
          <t xml:space="preserve">Founder pay inside the tranches (AED)</t>
        </is>
      </c>
      <c r="B24" s="6" t="inlineStr">
        <is>
          <t xml:space="preserve">Tranche 1</t>
        </is>
      </c>
      <c r="C24" s="6" t="inlineStr">
        <is>
          <t xml:space="preserve">Tranche 3</t>
        </is>
      </c>
      <c r="D24" s="6" t="inlineStr">
        <is>
          <t xml:space="preserve">Total</t>
        </is>
      </c>
    </row>
    <row r="25">
      <c r="A25" s="0" t="inlineStr">
        <is>
          <t xml:space="preserve">Zeyad</t>
        </is>
      </c>
      <c r="B25" s="2">
        <v>30000</v>
      </c>
      <c r="C25" s="2">
        <v>20000</v>
      </c>
      <c r="D25" s="2">
        <f>B25+C25</f>
        <v>50000</v>
      </c>
    </row>
    <row r="26">
      <c r="A26" s="0" t="inlineStr">
        <is>
          <t xml:space="preserve">Yousef</t>
        </is>
      </c>
      <c r="B26" s="2">
        <v>30000</v>
      </c>
      <c r="C26" s="2">
        <v>20000</v>
      </c>
      <c r="D26" s="2">
        <f>B26+C26</f>
        <v>50000</v>
      </c>
    </row>
    <row r="27">
      <c r="A27" s="0" t="inlineStr">
        <is>
          <t xml:space="preserve">Jihad</t>
        </is>
      </c>
      <c r="B27" s="2">
        <v>16400</v>
      </c>
      <c r="C27" s="2">
        <v>10900</v>
      </c>
      <c r="D27" s="2">
        <f>B27+C27</f>
        <v>27300</v>
      </c>
    </row>
    <row r="28">
      <c r="A28" s="1" t="inlineStr">
        <is>
          <t xml:space="preserve">Total</t>
        </is>
      </c>
      <c r="B28" s="5">
        <f>SUM(B25:B27)</f>
        <v>76400</v>
      </c>
      <c r="C28" s="5">
        <f>SUM(C25:C27)</f>
        <v>50900</v>
      </c>
      <c r="D28" s="5">
        <f>SUM(D25:D27)</f>
        <v>127300</v>
      </c>
    </row>
    <row r="30">
      <c r="A30" s="9" t="inlineStr">
        <is>
          <t xml:space="preserve">A tranche is one instalment of the funding. Each is paid only when the milestone before it is met, so if the launch misses, the investor stops after tranche 1.</t>
        </is>
      </c>
    </row>
  </sheetData>
</worksheet>
</file>

<file path=xl/worksheets/sheet3.xml><?xml version="1.0" encoding="utf-8"?>
<worksheet xmlns="http://schemas.openxmlformats.org/spreadsheetml/2006/main">
  <cols>
    <col min="1" max="1" width="40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</cols>
  <sheetData>
    <row r="1">
      <c r="A1" s="8" t="inlineStr">
        <is>
          <t xml:space="preserve">Three-year summary (AED, with US dollars): the studio's own cash, before anything flows back to the investor</t>
        </is>
      </c>
    </row>
    <row r="3">
      <c r="A3" s="6" t="inlineStr">
        <is>
          <t xml:space="preserve">Downside case</t>
        </is>
      </c>
      <c r="B3" s="6" t="inlineStr">
        <is>
          <t xml:space="preserve">Nov–Dec 2026 (AED)</t>
        </is>
      </c>
      <c r="C3" s="6" t="inlineStr">
        <is>
          <t xml:space="preserve">2027 (AED)</t>
        </is>
      </c>
      <c r="D3" s="6" t="inlineStr">
        <is>
          <t xml:space="preserve">2028 (AED)</t>
        </is>
      </c>
      <c r="E3" s="6" t="inlineStr">
        <is>
          <t xml:space="preserve">2029 (AED)</t>
        </is>
      </c>
      <c r="F3" s="6" t="inlineStr">
        <is>
          <t xml:space="preserve">Nov–Dec 2026 (USD)</t>
        </is>
      </c>
      <c r="G3" s="6" t="inlineStr">
        <is>
          <t xml:space="preserve">2027 (USD)</t>
        </is>
      </c>
      <c r="H3" s="6" t="inlineStr">
        <is>
          <t xml:space="preserve">2028 (USD)</t>
        </is>
      </c>
      <c r="I3" s="6" t="inlineStr">
        <is>
          <t xml:space="preserve">2029 (USD)</t>
        </is>
      </c>
    </row>
    <row r="4">
      <c r="A4" s="0" t="inlineStr">
        <is>
          <t xml:space="preserve">Paid by Steam</t>
        </is>
      </c>
      <c r="B4" s="2">
        <f>SUMPRODUCT((LEFT(Monthly!$A$4:$A$41,4)="2026")*Monthly!G4:G41)</f>
        <v>0</v>
      </c>
      <c r="C4" s="2">
        <f>SUMPRODUCT((LEFT(Monthly!$A$4:$A$41,4)="2027")*Monthly!G4:G41)</f>
        <v>147437</v>
      </c>
      <c r="D4" s="2">
        <f>SUMPRODUCT((LEFT(Monthly!$A$4:$A$41,4)="2028")*Monthly!G4:G41)</f>
        <v>51603</v>
      </c>
      <c r="E4" s="2">
        <f>SUMPRODUCT((LEFT(Monthly!$A$4:$A$41,4)="2029")*Monthly!G4:G41)</f>
        <v>22116</v>
      </c>
      <c r="F4" s="14">
        <f>B4/Assumptions!$B$32</f>
        <v>0.0</v>
      </c>
      <c r="G4" s="14">
        <f>C4/Assumptions!$B$32</f>
        <v>40146.22</v>
      </c>
      <c r="H4" s="14">
        <f>D4/Assumptions!$B$32</f>
        <v>14051.19</v>
      </c>
      <c r="I4" s="14">
        <f>E4/Assumptions!$B$32</f>
        <v>6022.06</v>
      </c>
    </row>
    <row r="5">
      <c r="A5" s="0" t="inlineStr">
        <is>
          <t xml:space="preserve">Funding received</t>
        </is>
      </c>
      <c r="B5" s="2">
        <f>SUMPRODUCT((LEFT(Monthly!$A$4:$A$41,4)="2026")*Monthly!H4:H41)</f>
        <v>185330</v>
      </c>
      <c r="C5" s="2">
        <f>SUMPRODUCT((LEFT(Monthly!$A$4:$A$41,4)="2027")*Monthly!H4:H41)</f>
        <v>0</v>
      </c>
      <c r="D5" s="2">
        <f>SUMPRODUCT((LEFT(Monthly!$A$4:$A$41,4)="2028")*Monthly!H4:H41)</f>
        <v>0</v>
      </c>
      <c r="E5" s="2">
        <f>SUMPRODUCT((LEFT(Monthly!$A$4:$A$41,4)="2029")*Monthly!H4:H41)</f>
        <v>0</v>
      </c>
      <c r="F5" s="14">
        <f>B5/Assumptions!$B$32</f>
        <v>50464.26</v>
      </c>
      <c r="G5" s="14">
        <f>C5/Assumptions!$B$32</f>
        <v>0.0</v>
      </c>
      <c r="H5" s="14">
        <f>D5/Assumptions!$B$32</f>
        <v>0.0</v>
      </c>
      <c r="I5" s="14">
        <f>E5/Assumptions!$B$32</f>
        <v>0.0</v>
      </c>
    </row>
    <row r="6">
      <c r="A6" s="0" t="inlineStr">
        <is>
          <t xml:space="preserve">Spending</t>
        </is>
      </c>
      <c r="B6" s="2">
        <f>SUMPRODUCT((LEFT(Monthly!$A$4:$A$41,4)="2026")*Monthly!I4:I41)</f>
        <v>118676</v>
      </c>
      <c r="C6" s="2">
        <f>SUMPRODUCT((LEFT(Monthly!$A$4:$A$41,4)="2027")*Monthly!I4:I41)</f>
        <v>81857</v>
      </c>
      <c r="D6" s="2">
        <f>SUMPRODUCT((LEFT(Monthly!$A$4:$A$41,4)="2028")*Monthly!I4:I41)</f>
        <v>20327</v>
      </c>
      <c r="E6" s="2">
        <f>SUMPRODUCT((LEFT(Monthly!$A$4:$A$41,4)="2029")*Monthly!I4:I41)</f>
        <v>30744</v>
      </c>
      <c r="F6" s="14">
        <f>B6/Assumptions!$B$32</f>
        <v>32314.77</v>
      </c>
      <c r="G6" s="14">
        <f>C6/Assumptions!$B$32</f>
        <v>22289.18</v>
      </c>
      <c r="H6" s="14">
        <f>D6/Assumptions!$B$32</f>
        <v>5534.92</v>
      </c>
      <c r="I6" s="14">
        <f>E6/Assumptions!$B$32</f>
        <v>8371.41</v>
      </c>
    </row>
    <row r="7">
      <c r="A7" s="1" t="inlineStr">
        <is>
          <t xml:space="preserve">Cash at year end</t>
        </is>
      </c>
      <c r="B7" s="5">
        <f>Monthly!J5</f>
        <v>66654</v>
      </c>
      <c r="C7" s="5">
        <f>Monthly!J17</f>
        <v>132234</v>
      </c>
      <c r="D7" s="5">
        <f>Monthly!J29</f>
        <v>163510</v>
      </c>
      <c r="E7" s="5">
        <f>Monthly!J41</f>
        <v>154881</v>
      </c>
      <c r="F7" s="16">
        <f>B7/Assumptions!$B$32</f>
        <v>18149.49</v>
      </c>
      <c r="G7" s="16">
        <f>C7/Assumptions!$B$32</f>
        <v>36006.54</v>
      </c>
      <c r="H7" s="16">
        <f>D7/Assumptions!$B$32</f>
        <v>44522.8</v>
      </c>
      <c r="I7" s="16">
        <f>E7/Assumptions!$B$32</f>
        <v>42173.18</v>
      </c>
    </row>
    <row r="9">
      <c r="A9" s="6" t="inlineStr">
        <is>
          <t xml:space="preserve">Base case</t>
        </is>
      </c>
      <c r="B9" s="6" t="inlineStr">
        <is>
          <t xml:space="preserve">Nov–Dec 2026 (AED)</t>
        </is>
      </c>
      <c r="C9" s="6" t="inlineStr">
        <is>
          <t xml:space="preserve">2027 (AED)</t>
        </is>
      </c>
      <c r="D9" s="6" t="inlineStr">
        <is>
          <t xml:space="preserve">2028 (AED)</t>
        </is>
      </c>
      <c r="E9" s="6" t="inlineStr">
        <is>
          <t xml:space="preserve">2029 (AED)</t>
        </is>
      </c>
      <c r="F9" s="6" t="inlineStr">
        <is>
          <t xml:space="preserve">Nov–Dec 2026 (USD)</t>
        </is>
      </c>
      <c r="G9" s="6" t="inlineStr">
        <is>
          <t xml:space="preserve">2027 (USD)</t>
        </is>
      </c>
      <c r="H9" s="6" t="inlineStr">
        <is>
          <t xml:space="preserve">2028 (USD)</t>
        </is>
      </c>
      <c r="I9" s="6" t="inlineStr">
        <is>
          <t xml:space="preserve">2029 (USD)</t>
        </is>
      </c>
    </row>
    <row r="10">
      <c r="A10" s="0" t="inlineStr">
        <is>
          <t xml:space="preserve">Paid by Steam</t>
        </is>
      </c>
      <c r="B10" s="2">
        <f>SUMPRODUCT((LEFT(Monthly!$A$4:$A$41,4)="2026")*Monthly!O4:O41)</f>
        <v>0</v>
      </c>
      <c r="C10" s="2">
        <f>SUMPRODUCT((LEFT(Monthly!$A$4:$A$41,4)="2027")*Monthly!O4:O41)</f>
        <v>609660</v>
      </c>
      <c r="D10" s="2">
        <f>SUMPRODUCT((LEFT(Monthly!$A$4:$A$41,4)="2028")*Monthly!O4:O41)</f>
        <v>213381</v>
      </c>
      <c r="E10" s="2">
        <f>SUMPRODUCT((LEFT(Monthly!$A$4:$A$41,4)="2029")*Monthly!O4:O41)</f>
        <v>91449</v>
      </c>
      <c r="F10" s="14">
        <f>B10/Assumptions!$B$32</f>
        <v>0.0</v>
      </c>
      <c r="G10" s="14">
        <f>C10/Assumptions!$B$32</f>
        <v>166006.81</v>
      </c>
      <c r="H10" s="14">
        <f>D10/Assumptions!$B$32</f>
        <v>58102.38</v>
      </c>
      <c r="I10" s="14">
        <f>E10/Assumptions!$B$32</f>
        <v>24901.02</v>
      </c>
    </row>
    <row r="11">
      <c r="A11" s="0" t="inlineStr">
        <is>
          <t xml:space="preserve">Funding received</t>
        </is>
      </c>
      <c r="B11" s="2">
        <f>SUMPRODUCT((LEFT(Monthly!$A$4:$A$41,4)="2026")*Monthly!P4:P41)</f>
        <v>185330</v>
      </c>
      <c r="C11" s="2">
        <f>SUMPRODUCT((LEFT(Monthly!$A$4:$A$41,4)="2027")*Monthly!P4:P41)</f>
        <v>94770</v>
      </c>
      <c r="D11" s="2">
        <f>SUMPRODUCT((LEFT(Monthly!$A$4:$A$41,4)="2028")*Monthly!P4:P41)</f>
        <v>0</v>
      </c>
      <c r="E11" s="2">
        <f>SUMPRODUCT((LEFT(Monthly!$A$4:$A$41,4)="2029")*Monthly!P4:P41)</f>
        <v>0</v>
      </c>
      <c r="F11" s="14">
        <f>B11/Assumptions!$B$32</f>
        <v>50464.26</v>
      </c>
      <c r="G11" s="14">
        <f>C11/Assumptions!$B$32</f>
        <v>25805.31</v>
      </c>
      <c r="H11" s="14">
        <f>D11/Assumptions!$B$32</f>
        <v>0.0</v>
      </c>
      <c r="I11" s="14">
        <f>E11/Assumptions!$B$32</f>
        <v>0.0</v>
      </c>
    </row>
    <row r="12">
      <c r="A12" s="0" t="inlineStr">
        <is>
          <t xml:space="preserve">Spending</t>
        </is>
      </c>
      <c r="B12" s="2">
        <f>SUMPRODUCT((LEFT(Monthly!$A$4:$A$41,4)="2026")*Monthly!Q4:Q41)</f>
        <v>118676</v>
      </c>
      <c r="C12" s="2">
        <f>SUMPRODUCT((LEFT(Monthly!$A$4:$A$41,4)="2027")*Monthly!Q4:Q41)</f>
        <v>161424</v>
      </c>
      <c r="D12" s="2">
        <f>SUMPRODUCT((LEFT(Monthly!$A$4:$A$41,4)="2028")*Monthly!Q4:Q41)</f>
        <v>28327</v>
      </c>
      <c r="E12" s="2">
        <f>SUMPRODUCT((LEFT(Monthly!$A$4:$A$41,4)="2029")*Monthly!Q4:Q41)</f>
        <v>38744</v>
      </c>
      <c r="F12" s="14">
        <f>B12/Assumptions!$B$32</f>
        <v>32314.77</v>
      </c>
      <c r="G12" s="14">
        <f>C12/Assumptions!$B$32</f>
        <v>43954.8</v>
      </c>
      <c r="H12" s="14">
        <f>D12/Assumptions!$B$32</f>
        <v>7713.27</v>
      </c>
      <c r="I12" s="14">
        <f>E12/Assumptions!$B$32</f>
        <v>10549.76</v>
      </c>
    </row>
    <row r="13">
      <c r="A13" s="1" t="inlineStr">
        <is>
          <t xml:space="preserve">Cash at year end</t>
        </is>
      </c>
      <c r="B13" s="5">
        <f>Monthly!R5</f>
        <v>66654</v>
      </c>
      <c r="C13" s="5">
        <f>Monthly!R17</f>
        <v>609660</v>
      </c>
      <c r="D13" s="5">
        <f>Monthly!R29</f>
        <v>794713</v>
      </c>
      <c r="E13" s="5">
        <f>Monthly!R41</f>
        <v>847418</v>
      </c>
      <c r="F13" s="16">
        <f>B13/Assumptions!$B$32</f>
        <v>18149.49</v>
      </c>
      <c r="G13" s="16">
        <f>C13/Assumptions!$B$32</f>
        <v>166006.81</v>
      </c>
      <c r="H13" s="16">
        <f>D13/Assumptions!$B$32</f>
        <v>216395.64</v>
      </c>
      <c r="I13" s="16">
        <f>E13/Assumptions!$B$32</f>
        <v>230746.9</v>
      </c>
    </row>
    <row r="15">
      <c r="A15" s="6" t="inlineStr">
        <is>
          <t xml:space="preserve">Upside case</t>
        </is>
      </c>
      <c r="B15" s="6" t="inlineStr">
        <is>
          <t xml:space="preserve">Nov–Dec 2026 (AED)</t>
        </is>
      </c>
      <c r="C15" s="6" t="inlineStr">
        <is>
          <t xml:space="preserve">2027 (AED)</t>
        </is>
      </c>
      <c r="D15" s="6" t="inlineStr">
        <is>
          <t xml:space="preserve">2028 (AED)</t>
        </is>
      </c>
      <c r="E15" s="6" t="inlineStr">
        <is>
          <t xml:space="preserve">2029 (AED)</t>
        </is>
      </c>
      <c r="F15" s="6" t="inlineStr">
        <is>
          <t xml:space="preserve">Nov–Dec 2026 (USD)</t>
        </is>
      </c>
      <c r="G15" s="6" t="inlineStr">
        <is>
          <t xml:space="preserve">2027 (USD)</t>
        </is>
      </c>
      <c r="H15" s="6" t="inlineStr">
        <is>
          <t xml:space="preserve">2028 (USD)</t>
        </is>
      </c>
      <c r="I15" s="6" t="inlineStr">
        <is>
          <t xml:space="preserve">2029 (USD)</t>
        </is>
      </c>
    </row>
    <row r="16">
      <c r="A16" s="0" t="inlineStr">
        <is>
          <t xml:space="preserve">Paid by Steam</t>
        </is>
      </c>
      <c r="B16" s="2">
        <f>SUMPRODUCT((LEFT(Monthly!$A$4:$A$41,4)="2026")*Monthly!W4:W41)</f>
        <v>0</v>
      </c>
      <c r="C16" s="2">
        <f>SUMPRODUCT((LEFT(Monthly!$A$4:$A$41,4)="2027")*Monthly!W4:W41)</f>
        <v>3245758</v>
      </c>
      <c r="D16" s="2">
        <f>SUMPRODUCT((LEFT(Monthly!$A$4:$A$41,4)="2028")*Monthly!W4:W41)</f>
        <v>1136015</v>
      </c>
      <c r="E16" s="2">
        <f>SUMPRODUCT((LEFT(Monthly!$A$4:$A$41,4)="2029")*Monthly!W4:W41)</f>
        <v>486864</v>
      </c>
      <c r="F16" s="14">
        <f>B16/Assumptions!$B$32</f>
        <v>0.0</v>
      </c>
      <c r="G16" s="14">
        <f>C16/Assumptions!$B$32</f>
        <v>883800.68</v>
      </c>
      <c r="H16" s="14">
        <f>D16/Assumptions!$B$32</f>
        <v>309330.16</v>
      </c>
      <c r="I16" s="14">
        <f>E16/Assumptions!$B$32</f>
        <v>132570.18</v>
      </c>
    </row>
    <row r="17">
      <c r="A17" s="0" t="inlineStr">
        <is>
          <t xml:space="preserve">Funding received</t>
        </is>
      </c>
      <c r="B17" s="2">
        <f>SUMPRODUCT((LEFT(Monthly!$A$4:$A$41,4)="2026")*Monthly!X4:X41)</f>
        <v>185330</v>
      </c>
      <c r="C17" s="2">
        <f>SUMPRODUCT((LEFT(Monthly!$A$4:$A$41,4)="2027")*Monthly!X4:X41)</f>
        <v>94770</v>
      </c>
      <c r="D17" s="2">
        <f>SUMPRODUCT((LEFT(Monthly!$A$4:$A$41,4)="2028")*Monthly!X4:X41)</f>
        <v>0</v>
      </c>
      <c r="E17" s="2">
        <f>SUMPRODUCT((LEFT(Monthly!$A$4:$A$41,4)="2029")*Monthly!X4:X41)</f>
        <v>0</v>
      </c>
      <c r="F17" s="14">
        <f>B17/Assumptions!$B$32</f>
        <v>50464.26</v>
      </c>
      <c r="G17" s="14">
        <f>C17/Assumptions!$B$32</f>
        <v>25805.31</v>
      </c>
      <c r="H17" s="14">
        <f>D17/Assumptions!$B$32</f>
        <v>0.0</v>
      </c>
      <c r="I17" s="14">
        <f>E17/Assumptions!$B$32</f>
        <v>0.0</v>
      </c>
    </row>
    <row r="18">
      <c r="A18" s="0" t="inlineStr">
        <is>
          <t xml:space="preserve">Spending</t>
        </is>
      </c>
      <c r="B18" s="2">
        <f>SUMPRODUCT((LEFT(Monthly!$A$4:$A$41,4)="2026")*Monthly!Y4:Y41)</f>
        <v>118676</v>
      </c>
      <c r="C18" s="2">
        <f>SUMPRODUCT((LEFT(Monthly!$A$4:$A$41,4)="2027")*Monthly!Y4:Y41)</f>
        <v>161424</v>
      </c>
      <c r="D18" s="2">
        <f>SUMPRODUCT((LEFT(Monthly!$A$4:$A$41,4)="2028")*Monthly!Y4:Y41)</f>
        <v>28327</v>
      </c>
      <c r="E18" s="2">
        <f>SUMPRODUCT((LEFT(Monthly!$A$4:$A$41,4)="2029")*Monthly!Y4:Y41)</f>
        <v>38744</v>
      </c>
      <c r="F18" s="14">
        <f>B18/Assumptions!$B$32</f>
        <v>32314.77</v>
      </c>
      <c r="G18" s="14">
        <f>C18/Assumptions!$B$32</f>
        <v>43954.8</v>
      </c>
      <c r="H18" s="14">
        <f>D18/Assumptions!$B$32</f>
        <v>7713.27</v>
      </c>
      <c r="I18" s="14">
        <f>E18/Assumptions!$B$32</f>
        <v>10549.76</v>
      </c>
    </row>
    <row r="19">
      <c r="A19" s="1" t="inlineStr">
        <is>
          <t xml:space="preserve">Cash at year end</t>
        </is>
      </c>
      <c r="B19" s="5">
        <f>Monthly!Z5</f>
        <v>66654</v>
      </c>
      <c r="C19" s="5">
        <f>Monthly!Z17</f>
        <v>3245758</v>
      </c>
      <c r="D19" s="5">
        <f>Monthly!Z29</f>
        <v>4353447</v>
      </c>
      <c r="E19" s="5">
        <f>Monthly!Z41</f>
        <v>4801566</v>
      </c>
      <c r="F19" s="16">
        <f>B19/Assumptions!$B$32</f>
        <v>18149.49</v>
      </c>
      <c r="G19" s="16">
        <f>C19/Assumptions!$B$32</f>
        <v>883800.68</v>
      </c>
      <c r="H19" s="16">
        <f>D19/Assumptions!$B$32</f>
        <v>1185417.84</v>
      </c>
      <c r="I19" s="16">
        <f>E19/Assumptions!$B$32</f>
        <v>1307437.99</v>
      </c>
    </row>
    <row r="21">
      <c r="A21" s="6" t="inlineStr">
        <is>
          <t xml:space="preserve">Payback: month cumulative Steam payments reach the plan total</t>
        </is>
      </c>
      <c r="B21" s="6" t="inlineStr">
        <is>
          <t xml:space="preserve">Plan</t>
        </is>
      </c>
    </row>
    <row r="22">
      <c r="A22" s="0" t="inlineStr">
        <is>
          <t xml:space="preserve">Downside</t>
        </is>
      </c>
      <c r="B22" s="0" t="str">
        <f>IFERROR(INDEX(Monthly!$A$4:$A$41,MATCH(TRUE,INDEX(Monthly!$K$4:$K$41&gt;=Budget!$B$15,0),0)),"Not by end 2029")</f>
        <v>Not by end 2029</v>
      </c>
    </row>
    <row r="23">
      <c r="A23" s="0" t="inlineStr">
        <is>
          <t xml:space="preserve">Base</t>
        </is>
      </c>
      <c r="B23" s="0" t="str">
        <f>IFERROR(INDEX(Monthly!$A$4:$A$41,MATCH(TRUE,INDEX(Monthly!$S$4:$S$41&gt;=Budget!$B$15,0),0)),"Not by end 2029")</f>
        <v>2027-04</v>
      </c>
    </row>
    <row r="24">
      <c r="A24" s="0" t="inlineStr">
        <is>
          <t xml:space="preserve">Upside</t>
        </is>
      </c>
      <c r="B24" s="0" t="str">
        <f>IFERROR(INDEX(Monthly!$A$4:$A$41,MATCH(TRUE,INDEX(Monthly!$AA$4:$AA$41&gt;=Budget!$B$15,0),0)),"Not by end 2029")</f>
        <v>2027-01</v>
      </c>
    </row>
    <row r="26">
      <c r="A26" s="9" t="inlineStr">
        <is>
          <t xml:space="preserve">Left out on purpose: console ports, DLC after the third pack, a second game, publishing, and any founder pay after 2027. Figures are before UAE corporate tax. Estimates, not audited.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xSplit="3" ySplit="3" topLeftCell="D4" activePane="bottomRight" state="frozen"/>
    </sheetView>
  </sheetViews>
  <cols>
    <col min="1" max="1" width="10" customWidth="1"/>
    <col min="2" max="2" width="9" customWidth="1"/>
    <col min="3" max="3" width="11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</cols>
  <sheetData>
    <row r="1">
      <c r="A1" s="8" t="inlineStr">
        <is>
          <t xml:space="preserve">Month by month, all three cases (AED)</t>
        </is>
      </c>
    </row>
    <row r="2">
      <c r="A2" s="9" t="inlineStr">
        <is>
          <t xml:space="preserve">Copies = year-one copies × the year's factor × the month's share. Net sales = copies × what the studio keeps + DLC copies × DLC keep. Steam pays a month later. Funding follows the tranche gates; in the downside only tranche 1 is drawn. Divide by Assumptions!B32 for US dollars.</t>
        </is>
      </c>
    </row>
    <row r="3">
      <c r="A3" s="6" t="inlineStr">
        <is>
          <t xml:space="preserve">Month</t>
        </is>
      </c>
      <c r="B3" s="6" t="inlineStr">
        <is>
          <t xml:space="preserve">Sales year</t>
        </is>
      </c>
      <c r="C3" s="6" t="inlineStr">
        <is>
          <t xml:space="preserve">Share of the year's sales</t>
        </is>
      </c>
      <c r="D3" s="6" t="inlineStr">
        <is>
          <t xml:space="preserve">Downside: Copies sold</t>
        </is>
      </c>
      <c r="E3" s="6" t="inlineStr">
        <is>
          <t xml:space="preserve">Downside: DLC copies sold</t>
        </is>
      </c>
      <c r="F3" s="6" t="inlineStr">
        <is>
          <t xml:space="preserve">Downside: Net sales</t>
        </is>
      </c>
      <c r="G3" s="6" t="inlineStr">
        <is>
          <t xml:space="preserve">Downside: Paid by Steam</t>
        </is>
      </c>
      <c r="H3" s="6" t="inlineStr">
        <is>
          <t xml:space="preserve">Downside: Funding received</t>
        </is>
      </c>
      <c r="I3" s="6" t="inlineStr">
        <is>
          <t xml:space="preserve">Downside: Spending</t>
        </is>
      </c>
      <c r="J3" s="6" t="inlineStr">
        <is>
          <t xml:space="preserve">Downside: Cash balance</t>
        </is>
      </c>
      <c r="K3" s="6" t="inlineStr">
        <is>
          <t xml:space="preserve">Downside: Cumulative paid by Steam</t>
        </is>
      </c>
      <c r="L3" s="6" t="inlineStr">
        <is>
          <t xml:space="preserve">Base: Copies sold</t>
        </is>
      </c>
      <c r="M3" s="6" t="inlineStr">
        <is>
          <t xml:space="preserve">Base: DLC copies sold</t>
        </is>
      </c>
      <c r="N3" s="6" t="inlineStr">
        <is>
          <t xml:space="preserve">Base: Net sales</t>
        </is>
      </c>
      <c r="O3" s="6" t="inlineStr">
        <is>
          <t xml:space="preserve">Base: Paid by Steam</t>
        </is>
      </c>
      <c r="P3" s="6" t="inlineStr">
        <is>
          <t xml:space="preserve">Base: Funding received</t>
        </is>
      </c>
      <c r="Q3" s="6" t="inlineStr">
        <is>
          <t xml:space="preserve">Base: Spending</t>
        </is>
      </c>
      <c r="R3" s="6" t="inlineStr">
        <is>
          <t xml:space="preserve">Base: Cash balance</t>
        </is>
      </c>
      <c r="S3" s="6" t="inlineStr">
        <is>
          <t xml:space="preserve">Base: Cumulative paid by Steam</t>
        </is>
      </c>
      <c r="T3" s="6" t="inlineStr">
        <is>
          <t xml:space="preserve">Upside: Copies sold</t>
        </is>
      </c>
      <c r="U3" s="6" t="inlineStr">
        <is>
          <t xml:space="preserve">Upside: DLC copies sold</t>
        </is>
      </c>
      <c r="V3" s="6" t="inlineStr">
        <is>
          <t xml:space="preserve">Upside: Net sales</t>
        </is>
      </c>
      <c r="W3" s="6" t="inlineStr">
        <is>
          <t xml:space="preserve">Upside: Paid by Steam</t>
        </is>
      </c>
      <c r="X3" s="6" t="inlineStr">
        <is>
          <t xml:space="preserve">Upside: Funding received</t>
        </is>
      </c>
      <c r="Y3" s="6" t="inlineStr">
        <is>
          <t xml:space="preserve">Upside: Spending</t>
        </is>
      </c>
      <c r="Z3" s="6" t="inlineStr">
        <is>
          <t xml:space="preserve">Upside: Cash balance</t>
        </is>
      </c>
      <c r="AA3" s="6" t="inlineStr">
        <is>
          <t xml:space="preserve">Upside: Cumulative paid by Steam</t>
        </is>
      </c>
    </row>
    <row r="4">
      <c r="A4" s="0" t="inlineStr">
        <is>
          <t xml:space="preserve">2026-11</t>
        </is>
      </c>
      <c r="B4" s="2"/>
      <c r="C4" s="4">
        <v>0.0</v>
      </c>
      <c r="D4" s="2">
        <v>0</v>
      </c>
      <c r="E4" s="2">
        <v>0.0</v>
      </c>
      <c r="F4" s="2">
        <f>D4*Assumptions!$B$12+E4*Assumptions!$B$14</f>
        <v>0.0</v>
      </c>
      <c r="G4" s="2">
        <v>0</v>
      </c>
      <c r="H4" s="2">
        <v>185330.0</v>
      </c>
      <c r="I4" s="2">
        <v>68735.71</v>
      </c>
      <c r="J4" s="2">
        <f>G4+H4-I4</f>
        <v>116594.29</v>
      </c>
      <c r="K4" s="2">
        <f>G4</f>
        <v>0.0</v>
      </c>
      <c r="L4" s="2">
        <v>0</v>
      </c>
      <c r="M4" s="2">
        <v>0.0</v>
      </c>
      <c r="N4" s="2">
        <f>L4*Assumptions!$B$12+M4*Assumptions!$B$14</f>
        <v>0.0</v>
      </c>
      <c r="O4" s="2">
        <v>0</v>
      </c>
      <c r="P4" s="2">
        <v>185330.0</v>
      </c>
      <c r="Q4" s="2">
        <v>68735.71</v>
      </c>
      <c r="R4" s="2">
        <f>O4+P4-Q4</f>
        <v>116594.29</v>
      </c>
      <c r="S4" s="2">
        <f>O4</f>
        <v>0.0</v>
      </c>
      <c r="T4" s="2">
        <v>0</v>
      </c>
      <c r="U4" s="2">
        <v>0.0</v>
      </c>
      <c r="V4" s="2">
        <f>T4*Assumptions!$B$12+U4*Assumptions!$B$14</f>
        <v>0.0</v>
      </c>
      <c r="W4" s="2">
        <v>0</v>
      </c>
      <c r="X4" s="2">
        <v>185330.0</v>
      </c>
      <c r="Y4" s="2">
        <v>68735.71</v>
      </c>
      <c r="Z4" s="2">
        <f>W4+X4-Y4</f>
        <v>116594.29</v>
      </c>
      <c r="AA4" s="2">
        <f>W4</f>
        <v>0.0</v>
      </c>
    </row>
    <row r="5">
      <c r="A5" s="0" t="inlineStr">
        <is>
          <t xml:space="preserve">2026-12</t>
        </is>
      </c>
      <c r="B5" s="2">
        <v>1</v>
      </c>
      <c r="C5" s="4">
        <v>0.3</v>
      </c>
      <c r="D5" s="2">
        <f>Assumptions!$B$18*1*$C5</f>
        <v>2400.0</v>
      </c>
      <c r="E5" s="2">
        <v>0.0</v>
      </c>
      <c r="F5" s="2">
        <f>D5*Assumptions!$B$12+E5*Assumptions!$B$14</f>
        <v>39492.12</v>
      </c>
      <c r="G5" s="2">
        <f>F4</f>
        <v>0.0</v>
      </c>
      <c r="H5" s="2">
        <v>0.0</v>
      </c>
      <c r="I5" s="2">
        <v>49940.33</v>
      </c>
      <c r="J5" s="2">
        <f>J4+G5+H5-I5</f>
        <v>66653.96</v>
      </c>
      <c r="K5" s="2">
        <f>K4+G5</f>
        <v>0.0</v>
      </c>
      <c r="L5" s="2">
        <f>Assumptions!$C$18*1*$C5</f>
        <v>9000.0</v>
      </c>
      <c r="M5" s="2">
        <v>0.0</v>
      </c>
      <c r="N5" s="2">
        <f>L5*Assumptions!$B$12+M5*Assumptions!$B$14</f>
        <v>148095.44</v>
      </c>
      <c r="O5" s="2">
        <f>N4</f>
        <v>0.0</v>
      </c>
      <c r="P5" s="2">
        <v>0.0</v>
      </c>
      <c r="Q5" s="2">
        <v>49940.33</v>
      </c>
      <c r="R5" s="2">
        <f>R4+O5+P5-Q5</f>
        <v>66653.96</v>
      </c>
      <c r="S5" s="2">
        <f>S4+O5</f>
        <v>0.0</v>
      </c>
      <c r="T5" s="2">
        <f>Assumptions!$D$18*1*$C5</f>
        <v>45000.0</v>
      </c>
      <c r="U5" s="2">
        <v>0.0</v>
      </c>
      <c r="V5" s="2">
        <f>T5*Assumptions!$B$12+U5*Assumptions!$B$14</f>
        <v>740477.22</v>
      </c>
      <c r="W5" s="2">
        <f>V4</f>
        <v>0.0</v>
      </c>
      <c r="X5" s="2">
        <v>0.0</v>
      </c>
      <c r="Y5" s="2">
        <v>49940.33</v>
      </c>
      <c r="Z5" s="2">
        <f>Z4+W5+X5-Y5</f>
        <v>66653.96</v>
      </c>
      <c r="AA5" s="2">
        <f>AA4+W5</f>
        <v>0.0</v>
      </c>
    </row>
    <row r="6">
      <c r="A6" s="0" t="inlineStr">
        <is>
          <t xml:space="preserve">2027-01</t>
        </is>
      </c>
      <c r="B6" s="2">
        <v>1</v>
      </c>
      <c r="C6" s="4">
        <v>0.18</v>
      </c>
      <c r="D6" s="2">
        <f>Assumptions!$B$18*1*$C6</f>
        <v>1440.0</v>
      </c>
      <c r="E6" s="2">
        <v>192.0</v>
      </c>
      <c r="F6" s="2">
        <f>D6*Assumptions!$B$12+E6*Assumptions!$B$14</f>
        <v>25274.96</v>
      </c>
      <c r="G6" s="2">
        <f>F5</f>
        <v>39492.12</v>
      </c>
      <c r="H6" s="2">
        <v>0.0</v>
      </c>
      <c r="I6" s="2">
        <v>40367.0</v>
      </c>
      <c r="J6" s="2">
        <f>J5+G6+H6-I6</f>
        <v>65779.08</v>
      </c>
      <c r="K6" s="2">
        <f>K5+G6</f>
        <v>39492.12</v>
      </c>
      <c r="L6" s="2">
        <f>Assumptions!$C$18*1*$C6</f>
        <v>5400.0</v>
      </c>
      <c r="M6" s="2">
        <v>1440.0</v>
      </c>
      <c r="N6" s="2">
        <f>L6*Assumptions!$B$12+M6*Assumptions!$B$14</f>
        <v>100704.9</v>
      </c>
      <c r="O6" s="2">
        <f>N5</f>
        <v>148095.44</v>
      </c>
      <c r="P6" s="2">
        <v>0.0</v>
      </c>
      <c r="Q6" s="2">
        <v>40367.0</v>
      </c>
      <c r="R6" s="2">
        <f>R5+O6+P6-Q6</f>
        <v>174382.4</v>
      </c>
      <c r="S6" s="2">
        <f>S5+O6</f>
        <v>148095.44</v>
      </c>
      <c r="T6" s="2">
        <f>Assumptions!$D$18*1*$C6</f>
        <v>27000.0</v>
      </c>
      <c r="U6" s="2">
        <v>9000.0</v>
      </c>
      <c r="V6" s="2">
        <f>T6*Assumptions!$B$12+U6*Assumptions!$B$14</f>
        <v>518334.05</v>
      </c>
      <c r="W6" s="2">
        <f>V5</f>
        <v>740477.22</v>
      </c>
      <c r="X6" s="2">
        <v>0.0</v>
      </c>
      <c r="Y6" s="2">
        <v>40367.0</v>
      </c>
      <c r="Z6" s="2">
        <f>Z5+W6+X6-Y6</f>
        <v>766764.18</v>
      </c>
      <c r="AA6" s="2">
        <f>AA5+W6</f>
        <v>740477.22</v>
      </c>
    </row>
    <row r="7">
      <c r="A7" s="0" t="inlineStr">
        <is>
          <t xml:space="preserve">2027-02</t>
        </is>
      </c>
      <c r="B7" s="2">
        <v>1</v>
      </c>
      <c r="C7" s="4">
        <v>0.08</v>
      </c>
      <c r="D7" s="2">
        <f>Assumptions!$B$18*1*$C7</f>
        <v>640.0</v>
      </c>
      <c r="E7" s="2">
        <v>96.0</v>
      </c>
      <c r="F7" s="2">
        <f>D7*Assumptions!$B$12+E7*Assumptions!$B$14</f>
        <v>11321.07</v>
      </c>
      <c r="G7" s="2">
        <f>F6</f>
        <v>25274.96</v>
      </c>
      <c r="H7" s="2">
        <v>0.0</v>
      </c>
      <c r="I7" s="2">
        <v>26287.0</v>
      </c>
      <c r="J7" s="2">
        <f>J6+G7+H7-I7</f>
        <v>64767.04</v>
      </c>
      <c r="K7" s="2">
        <f>K6+G7</f>
        <v>64767.07</v>
      </c>
      <c r="L7" s="2">
        <f>Assumptions!$C$18*1*$C7</f>
        <v>2400.0</v>
      </c>
      <c r="M7" s="2">
        <v>720.0</v>
      </c>
      <c r="N7" s="2">
        <f>L7*Assumptions!$B$12+M7*Assumptions!$B$14</f>
        <v>45415.94</v>
      </c>
      <c r="O7" s="2">
        <f>N6</f>
        <v>100704.9</v>
      </c>
      <c r="P7" s="2">
        <v>0.0</v>
      </c>
      <c r="Q7" s="2">
        <v>26287.0</v>
      </c>
      <c r="R7" s="2">
        <f>R6+O7+P7-Q7</f>
        <v>248800.31</v>
      </c>
      <c r="S7" s="2">
        <f>S6+O7</f>
        <v>248800.34</v>
      </c>
      <c r="T7" s="2">
        <f>Assumptions!$D$18*1*$C7</f>
        <v>12000.0</v>
      </c>
      <c r="U7" s="2">
        <v>4500.0</v>
      </c>
      <c r="V7" s="2">
        <f>T7*Assumptions!$B$12+U7*Assumptions!$B$14</f>
        <v>234484.45</v>
      </c>
      <c r="W7" s="2">
        <f>V6</f>
        <v>518334.05</v>
      </c>
      <c r="X7" s="2">
        <v>0.0</v>
      </c>
      <c r="Y7" s="2">
        <v>26287.0</v>
      </c>
      <c r="Z7" s="2">
        <f>Z6+W7+X7-Y7</f>
        <v>1258811.23</v>
      </c>
      <c r="AA7" s="2">
        <f>AA6+W7</f>
        <v>1258811.27</v>
      </c>
    </row>
    <row r="8">
      <c r="A8" s="0" t="inlineStr">
        <is>
          <t xml:space="preserve">2027-03</t>
        </is>
      </c>
      <c r="B8" s="2">
        <v>1</v>
      </c>
      <c r="C8" s="4">
        <v>0.07</v>
      </c>
      <c r="D8" s="2">
        <f>Assumptions!$B$18*1*$C8</f>
        <v>560.0</v>
      </c>
      <c r="E8" s="2">
        <v>289.6</v>
      </c>
      <c r="F8" s="2">
        <f>D8*Assumptions!$B$12+E8*Assumptions!$B$14</f>
        <v>11597.52</v>
      </c>
      <c r="G8" s="2">
        <f>F7</f>
        <v>11321.07</v>
      </c>
      <c r="H8" s="2">
        <v>0.0</v>
      </c>
      <c r="I8" s="2">
        <v>1520.33</v>
      </c>
      <c r="J8" s="2">
        <f>J7+G8+H8-I8</f>
        <v>74567.78</v>
      </c>
      <c r="K8" s="2">
        <f>K7+G8</f>
        <v>76088.15</v>
      </c>
      <c r="L8" s="2">
        <f>Assumptions!$C$18*1*$C8</f>
        <v>2100.0</v>
      </c>
      <c r="M8" s="2">
        <v>2077.5</v>
      </c>
      <c r="N8" s="2">
        <f>L8*Assumptions!$B$12+M8*Assumptions!$B$14</f>
        <v>51648.29</v>
      </c>
      <c r="O8" s="2">
        <f>N7</f>
        <v>45415.94</v>
      </c>
      <c r="P8" s="2">
        <v>35122.0</v>
      </c>
      <c r="Q8" s="2">
        <v>13187.0</v>
      </c>
      <c r="R8" s="2">
        <f>R7+O8+P8-Q8</f>
        <v>316151.25</v>
      </c>
      <c r="S8" s="2">
        <f>S7+O8</f>
        <v>294216.28</v>
      </c>
      <c r="T8" s="2">
        <f>Assumptions!$D$18*1*$C8</f>
        <v>10500.0</v>
      </c>
      <c r="U8" s="2">
        <v>13575.0</v>
      </c>
      <c r="V8" s="2">
        <f>T8*Assumptions!$B$12+U8*Assumptions!$B$14</f>
        <v>284466.66</v>
      </c>
      <c r="W8" s="2">
        <f>V7</f>
        <v>234484.45</v>
      </c>
      <c r="X8" s="2">
        <v>35122.0</v>
      </c>
      <c r="Y8" s="2">
        <v>13187.0</v>
      </c>
      <c r="Z8" s="2">
        <f>Z7+W8+X8-Y8</f>
        <v>1515230.68</v>
      </c>
      <c r="AA8" s="2">
        <f>AA7+W8</f>
        <v>1493295.72</v>
      </c>
    </row>
    <row r="9">
      <c r="A9" s="0" t="inlineStr">
        <is>
          <t xml:space="preserve">2027-04</t>
        </is>
      </c>
      <c r="B9" s="2">
        <v>1</v>
      </c>
      <c r="C9" s="4">
        <v>0.05</v>
      </c>
      <c r="D9" s="2">
        <f>Assumptions!$B$18*1*$C9</f>
        <v>400.0</v>
      </c>
      <c r="E9" s="2">
        <v>137.6</v>
      </c>
      <c r="F9" s="2">
        <f>D9*Assumptions!$B$12+E9*Assumptions!$B$14</f>
        <v>7714.13</v>
      </c>
      <c r="G9" s="2">
        <f>F8</f>
        <v>11597.52</v>
      </c>
      <c r="H9" s="2">
        <v>0.0</v>
      </c>
      <c r="I9" s="2">
        <v>1520.33</v>
      </c>
      <c r="J9" s="2">
        <f>J8+G9+H9-I9</f>
        <v>84644.97</v>
      </c>
      <c r="K9" s="2">
        <f>K8+G9</f>
        <v>87685.67</v>
      </c>
      <c r="L9" s="2">
        <f>Assumptions!$C$18*1*$C9</f>
        <v>1500.0</v>
      </c>
      <c r="M9" s="2">
        <v>1001.25</v>
      </c>
      <c r="N9" s="2">
        <f>L9*Assumptions!$B$12+M9*Assumptions!$B$14</f>
        <v>32920.38</v>
      </c>
      <c r="O9" s="2">
        <f>N8</f>
        <v>51648.29</v>
      </c>
      <c r="P9" s="2">
        <v>0.0</v>
      </c>
      <c r="Q9" s="2">
        <v>7187.0</v>
      </c>
      <c r="R9" s="2">
        <f>R8+O9+P9-Q9</f>
        <v>360612.54</v>
      </c>
      <c r="S9" s="2">
        <f>S8+O9</f>
        <v>345864.57</v>
      </c>
      <c r="T9" s="2">
        <f>Assumptions!$D$18*1*$C9</f>
        <v>7500.0</v>
      </c>
      <c r="U9" s="2">
        <v>6450.0</v>
      </c>
      <c r="V9" s="2">
        <f>T9*Assumptions!$B$12+U9*Assumptions!$B$14</f>
        <v>176480.4</v>
      </c>
      <c r="W9" s="2">
        <f>V8</f>
        <v>284466.66</v>
      </c>
      <c r="X9" s="2">
        <v>0.0</v>
      </c>
      <c r="Y9" s="2">
        <v>7187.0</v>
      </c>
      <c r="Z9" s="2">
        <f>Z8+W9+X9-Y9</f>
        <v>1792510.35</v>
      </c>
      <c r="AA9" s="2">
        <f>AA8+W9</f>
        <v>1777762.38</v>
      </c>
    </row>
    <row r="10">
      <c r="A10" s="0" t="inlineStr">
        <is>
          <t xml:space="preserve">2027-05</t>
        </is>
      </c>
      <c r="B10" s="2">
        <v>1</v>
      </c>
      <c r="C10" s="4">
        <v>0.06</v>
      </c>
      <c r="D10" s="2">
        <f>Assumptions!$B$18*1*$C10</f>
        <v>480.0</v>
      </c>
      <c r="E10" s="2">
        <v>329.6</v>
      </c>
      <c r="F10" s="2">
        <f>D10*Assumptions!$B$12+E10*Assumptions!$B$14</f>
        <v>10610.22</v>
      </c>
      <c r="G10" s="2">
        <f>F9</f>
        <v>7714.13</v>
      </c>
      <c r="H10" s="2">
        <v>0.0</v>
      </c>
      <c r="I10" s="2">
        <v>1520.33</v>
      </c>
      <c r="J10" s="2">
        <f>J9+G10+H10-I10</f>
        <v>90838.77</v>
      </c>
      <c r="K10" s="2">
        <f>K9+G10</f>
        <v>95399.79</v>
      </c>
      <c r="L10" s="2">
        <f>Assumptions!$C$18*1*$C10</f>
        <v>1800.0</v>
      </c>
      <c r="M10" s="2">
        <v>2438.25</v>
      </c>
      <c r="N10" s="2">
        <f>L10*Assumptions!$B$12+M10*Assumptions!$B$14</f>
        <v>49679.85</v>
      </c>
      <c r="O10" s="2">
        <f>N9</f>
        <v>32920.38</v>
      </c>
      <c r="P10" s="2">
        <v>0.0</v>
      </c>
      <c r="Q10" s="2">
        <v>8187.0</v>
      </c>
      <c r="R10" s="2">
        <f>R9+O10+P10-Q10</f>
        <v>385345.92</v>
      </c>
      <c r="S10" s="2">
        <f>S9+O10</f>
        <v>378784.95</v>
      </c>
      <c r="T10" s="2">
        <f>Assumptions!$D$18*1*$C10</f>
        <v>9000.0</v>
      </c>
      <c r="U10" s="2">
        <v>17115.0</v>
      </c>
      <c r="V10" s="2">
        <f>T10*Assumptions!$B$12+U10*Assumptions!$B$14</f>
        <v>288909.53</v>
      </c>
      <c r="W10" s="2">
        <f>V9</f>
        <v>176480.4</v>
      </c>
      <c r="X10" s="2">
        <v>0.0</v>
      </c>
      <c r="Y10" s="2">
        <v>8187.0</v>
      </c>
      <c r="Z10" s="2">
        <f>Z9+W10+X10-Y10</f>
        <v>1960803.76</v>
      </c>
      <c r="AA10" s="2">
        <f>AA9+W10</f>
        <v>1954242.78</v>
      </c>
    </row>
    <row r="11">
      <c r="A11" s="0" t="inlineStr">
        <is>
          <t xml:space="preserve">2027-06</t>
        </is>
      </c>
      <c r="B11" s="2">
        <v>1</v>
      </c>
      <c r="C11" s="4">
        <v>0.06</v>
      </c>
      <c r="D11" s="2">
        <f>Assumptions!$B$18*1*$C11</f>
        <v>480.0</v>
      </c>
      <c r="E11" s="2">
        <v>210.4</v>
      </c>
      <c r="F11" s="2">
        <f>D11*Assumptions!$B$12+E11*Assumptions!$B$14</f>
        <v>9629.49</v>
      </c>
      <c r="G11" s="2">
        <f>F10</f>
        <v>10610.22</v>
      </c>
      <c r="H11" s="2">
        <v>0.0</v>
      </c>
      <c r="I11" s="2">
        <v>1520.33</v>
      </c>
      <c r="J11" s="2">
        <f>J10+G11+H11-I11</f>
        <v>99928.65</v>
      </c>
      <c r="K11" s="2">
        <f>K10+G11</f>
        <v>106010.01</v>
      </c>
      <c r="L11" s="2">
        <f>Assumptions!$C$18*1*$C11</f>
        <v>1800.0</v>
      </c>
      <c r="M11" s="2">
        <v>1544.25</v>
      </c>
      <c r="N11" s="2">
        <f>L11*Assumptions!$B$12+M11*Assumptions!$B$14</f>
        <v>42324.44</v>
      </c>
      <c r="O11" s="2">
        <f>N10</f>
        <v>49679.85</v>
      </c>
      <c r="P11" s="2">
        <v>0.0</v>
      </c>
      <c r="Q11" s="2">
        <v>2187.0</v>
      </c>
      <c r="R11" s="2">
        <f>R10+O11+P11-Q11</f>
        <v>432838.78</v>
      </c>
      <c r="S11" s="2">
        <f>S10+O11</f>
        <v>428464.8</v>
      </c>
      <c r="T11" s="2">
        <f>Assumptions!$D$18*1*$C11</f>
        <v>9000.0</v>
      </c>
      <c r="U11" s="2">
        <v>10410.0</v>
      </c>
      <c r="V11" s="2">
        <f>T11*Assumptions!$B$12+U11*Assumptions!$B$14</f>
        <v>233743.97</v>
      </c>
      <c r="W11" s="2">
        <f>V10</f>
        <v>288909.53</v>
      </c>
      <c r="X11" s="2">
        <v>0.0</v>
      </c>
      <c r="Y11" s="2">
        <v>2187.0</v>
      </c>
      <c r="Z11" s="2">
        <f>Z10+W11+X11-Y11</f>
        <v>2247526.29</v>
      </c>
      <c r="AA11" s="2">
        <f>AA10+W11</f>
        <v>2243152.31</v>
      </c>
    </row>
    <row r="12">
      <c r="A12" s="0" t="inlineStr">
        <is>
          <t xml:space="preserve">2027-07</t>
        </is>
      </c>
      <c r="B12" s="2">
        <v>1</v>
      </c>
      <c r="C12" s="4">
        <v>0.04</v>
      </c>
      <c r="D12" s="2">
        <f>Assumptions!$B$18*1*$C12</f>
        <v>320.0</v>
      </c>
      <c r="E12" s="2">
        <v>172.0</v>
      </c>
      <c r="F12" s="2">
        <f>D12*Assumptions!$B$12+E12*Assumptions!$B$14</f>
        <v>6680.75</v>
      </c>
      <c r="G12" s="2">
        <f>F11</f>
        <v>9629.49</v>
      </c>
      <c r="H12" s="2">
        <v>0.0</v>
      </c>
      <c r="I12" s="2">
        <v>1520.33</v>
      </c>
      <c r="J12" s="2">
        <f>J11+G12+H12-I12</f>
        <v>108037.82</v>
      </c>
      <c r="K12" s="2">
        <f>K11+G12</f>
        <v>115639.5</v>
      </c>
      <c r="L12" s="2">
        <f>Assumptions!$C$18*1*$C12</f>
        <v>1200.0</v>
      </c>
      <c r="M12" s="2">
        <v>1262.25</v>
      </c>
      <c r="N12" s="2">
        <f>L12*Assumptions!$B$12+M12*Assumptions!$B$14</f>
        <v>30131.25</v>
      </c>
      <c r="O12" s="2">
        <f>N11</f>
        <v>42324.44</v>
      </c>
      <c r="P12" s="2">
        <v>0.0</v>
      </c>
      <c r="Q12" s="2">
        <v>2187.0</v>
      </c>
      <c r="R12" s="2">
        <f>R11+O12+P12-Q12</f>
        <v>472976.22</v>
      </c>
      <c r="S12" s="2">
        <f>S11+O12</f>
        <v>470789.24</v>
      </c>
      <c r="T12" s="2">
        <f>Assumptions!$D$18*1*$C12</f>
        <v>6000.0</v>
      </c>
      <c r="U12" s="2">
        <v>8520.0</v>
      </c>
      <c r="V12" s="2">
        <f>T12*Assumptions!$B$12+U12*Assumptions!$B$14</f>
        <v>168828.81</v>
      </c>
      <c r="W12" s="2">
        <f>V11</f>
        <v>233743.97</v>
      </c>
      <c r="X12" s="2">
        <v>0.0</v>
      </c>
      <c r="Y12" s="2">
        <v>2187.0</v>
      </c>
      <c r="Z12" s="2">
        <f>Z11+W12+X12-Y12</f>
        <v>2479083.27</v>
      </c>
      <c r="AA12" s="2">
        <f>AA11+W12</f>
        <v>2476896.29</v>
      </c>
    </row>
    <row r="13">
      <c r="A13" s="0" t="inlineStr">
        <is>
          <t xml:space="preserve">2027-08</t>
        </is>
      </c>
      <c r="B13" s="2">
        <v>1</v>
      </c>
      <c r="C13" s="4">
        <v>0.03</v>
      </c>
      <c r="D13" s="2">
        <f>Assumptions!$B$18*1*$C13</f>
        <v>240.0</v>
      </c>
      <c r="E13" s="2">
        <v>120.8</v>
      </c>
      <c r="F13" s="2">
        <f>D13*Assumptions!$B$12+E13*Assumptions!$B$14</f>
        <v>4943.1</v>
      </c>
      <c r="G13" s="2">
        <f>F12</f>
        <v>6680.75</v>
      </c>
      <c r="H13" s="2">
        <v>0.0</v>
      </c>
      <c r="I13" s="2">
        <v>1520.33</v>
      </c>
      <c r="J13" s="2">
        <f>J12+G13+H13-I13</f>
        <v>113198.24</v>
      </c>
      <c r="K13" s="2">
        <f>K12+G13</f>
        <v>122320.25</v>
      </c>
      <c r="L13" s="2">
        <f>Assumptions!$C$18*1*$C13</f>
        <v>900.0</v>
      </c>
      <c r="M13" s="2">
        <v>881.25</v>
      </c>
      <c r="N13" s="2">
        <f>L13*Assumptions!$B$12+M13*Assumptions!$B$14</f>
        <v>22060.05</v>
      </c>
      <c r="O13" s="2">
        <f>N12</f>
        <v>30131.25</v>
      </c>
      <c r="P13" s="2">
        <v>0.0</v>
      </c>
      <c r="Q13" s="2">
        <v>2187.0</v>
      </c>
      <c r="R13" s="2">
        <f>R12+O13+P13-Q13</f>
        <v>500920.48</v>
      </c>
      <c r="S13" s="2">
        <f>S12+O13</f>
        <v>500920.49</v>
      </c>
      <c r="T13" s="2">
        <f>Assumptions!$D$18*1*$C13</f>
        <v>4500.0</v>
      </c>
      <c r="U13" s="2">
        <v>6075.0</v>
      </c>
      <c r="V13" s="2">
        <f>T13*Assumptions!$B$12+U13*Assumptions!$B$14</f>
        <v>124029.93</v>
      </c>
      <c r="W13" s="2">
        <f>V12</f>
        <v>168828.81</v>
      </c>
      <c r="X13" s="2">
        <v>0.0</v>
      </c>
      <c r="Y13" s="2">
        <v>2187.0</v>
      </c>
      <c r="Z13" s="2">
        <f>Z12+W13+X13-Y13</f>
        <v>2645725.08</v>
      </c>
      <c r="AA13" s="2">
        <f>AA12+W13</f>
        <v>2645725.09</v>
      </c>
    </row>
    <row r="14">
      <c r="A14" s="0" t="inlineStr">
        <is>
          <t xml:space="preserve">2027-09</t>
        </is>
      </c>
      <c r="B14" s="2">
        <v>1</v>
      </c>
      <c r="C14" s="4">
        <v>0.03</v>
      </c>
      <c r="D14" s="2">
        <f>Assumptions!$B$18*1*$C14</f>
        <v>240.0</v>
      </c>
      <c r="E14" s="2">
        <v>120.8</v>
      </c>
      <c r="F14" s="2">
        <f>D14*Assumptions!$B$12+E14*Assumptions!$B$14</f>
        <v>4943.1</v>
      </c>
      <c r="G14" s="2">
        <f>F13</f>
        <v>4943.1</v>
      </c>
      <c r="H14" s="2">
        <v>0.0</v>
      </c>
      <c r="I14" s="2">
        <v>1520.33</v>
      </c>
      <c r="J14" s="2">
        <f>J13+G14+H14-I14</f>
        <v>116621.01</v>
      </c>
      <c r="K14" s="2">
        <f>K13+G14</f>
        <v>127263.35</v>
      </c>
      <c r="L14" s="2">
        <f>Assumptions!$C$18*1*$C14</f>
        <v>900.0</v>
      </c>
      <c r="M14" s="2">
        <v>881.25</v>
      </c>
      <c r="N14" s="2">
        <f>L14*Assumptions!$B$12+M14*Assumptions!$B$14</f>
        <v>22060.05</v>
      </c>
      <c r="O14" s="2">
        <f>N13</f>
        <v>22060.05</v>
      </c>
      <c r="P14" s="2">
        <v>59648.0</v>
      </c>
      <c r="Q14" s="2">
        <v>14912.0</v>
      </c>
      <c r="R14" s="2">
        <f>R13+O14+P14-Q14</f>
        <v>567716.53</v>
      </c>
      <c r="S14" s="2">
        <f>S13+O14</f>
        <v>522980.55</v>
      </c>
      <c r="T14" s="2">
        <f>Assumptions!$D$18*1*$C14</f>
        <v>4500.0</v>
      </c>
      <c r="U14" s="2">
        <v>6075.0</v>
      </c>
      <c r="V14" s="2">
        <f>T14*Assumptions!$B$12+U14*Assumptions!$B$14</f>
        <v>124029.93</v>
      </c>
      <c r="W14" s="2">
        <f>V13</f>
        <v>124029.93</v>
      </c>
      <c r="X14" s="2">
        <v>59648.0</v>
      </c>
      <c r="Y14" s="2">
        <v>14912.0</v>
      </c>
      <c r="Z14" s="2">
        <f>Z13+W14+X14-Y14</f>
        <v>2814491.01</v>
      </c>
      <c r="AA14" s="2">
        <f>AA13+W14</f>
        <v>2769755.02</v>
      </c>
    </row>
    <row r="15">
      <c r="A15" s="0" t="inlineStr">
        <is>
          <t xml:space="preserve">2027-10</t>
        </is>
      </c>
      <c r="B15" s="2">
        <v>1</v>
      </c>
      <c r="C15" s="4">
        <v>0.04</v>
      </c>
      <c r="D15" s="2">
        <f>Assumptions!$B$18*1*$C15</f>
        <v>320.0</v>
      </c>
      <c r="E15" s="2">
        <v>106.4</v>
      </c>
      <c r="F15" s="2">
        <f>D15*Assumptions!$B$12+E15*Assumptions!$B$14</f>
        <v>6141.02</v>
      </c>
      <c r="G15" s="2">
        <f>F14</f>
        <v>4943.1</v>
      </c>
      <c r="H15" s="2">
        <v>0.0</v>
      </c>
      <c r="I15" s="2">
        <v>1520.33</v>
      </c>
      <c r="J15" s="2">
        <f>J14+G15+H15-I15</f>
        <v>120043.77</v>
      </c>
      <c r="K15" s="2">
        <f>K14+G15</f>
        <v>132206.45</v>
      </c>
      <c r="L15" s="2">
        <f>Assumptions!$C$18*1*$C15</f>
        <v>1200.0</v>
      </c>
      <c r="M15" s="2">
        <v>786.0</v>
      </c>
      <c r="N15" s="2">
        <f>L15*Assumptions!$B$12+M15*Assumptions!$B$14</f>
        <v>26212.89</v>
      </c>
      <c r="O15" s="2">
        <f>N14</f>
        <v>22060.05</v>
      </c>
      <c r="P15" s="2">
        <v>0.0</v>
      </c>
      <c r="Q15" s="2">
        <v>14912.0</v>
      </c>
      <c r="R15" s="2">
        <f>R14+O15+P15-Q15</f>
        <v>574864.59</v>
      </c>
      <c r="S15" s="2">
        <f>S14+O15</f>
        <v>545040.6</v>
      </c>
      <c r="T15" s="2">
        <f>Assumptions!$D$18*1*$C15</f>
        <v>6000.0</v>
      </c>
      <c r="U15" s="2">
        <v>5445.0</v>
      </c>
      <c r="V15" s="2">
        <f>T15*Assumptions!$B$12+U15*Assumptions!$B$14</f>
        <v>143529.17</v>
      </c>
      <c r="W15" s="2">
        <f>V14</f>
        <v>124029.93</v>
      </c>
      <c r="X15" s="2">
        <v>0.0</v>
      </c>
      <c r="Y15" s="2">
        <v>14912.0</v>
      </c>
      <c r="Z15" s="2">
        <f>Z14+W15+X15-Y15</f>
        <v>2923608.95</v>
      </c>
      <c r="AA15" s="2">
        <f>AA14+W15</f>
        <v>2893784.96</v>
      </c>
    </row>
    <row r="16">
      <c r="A16" s="0" t="inlineStr">
        <is>
          <t xml:space="preserve">2027-11</t>
        </is>
      </c>
      <c r="B16" s="2">
        <v>1</v>
      </c>
      <c r="C16" s="4">
        <v>0.06</v>
      </c>
      <c r="D16" s="2">
        <f>Assumptions!$B$18*1*$C16</f>
        <v>480.0</v>
      </c>
      <c r="E16" s="2">
        <v>144.8</v>
      </c>
      <c r="F16" s="2">
        <f>D16*Assumptions!$B$12+E16*Assumptions!$B$14</f>
        <v>9089.77</v>
      </c>
      <c r="G16" s="2">
        <f>F15</f>
        <v>6141.02</v>
      </c>
      <c r="H16" s="2">
        <v>0.0</v>
      </c>
      <c r="I16" s="2">
        <v>1520.33</v>
      </c>
      <c r="J16" s="2">
        <f>J15+G16+H16-I16</f>
        <v>124664.47</v>
      </c>
      <c r="K16" s="2">
        <f>K15+G16</f>
        <v>138347.47</v>
      </c>
      <c r="L16" s="2">
        <f>Assumptions!$C$18*1*$C16</f>
        <v>1800.0</v>
      </c>
      <c r="M16" s="2">
        <v>1068.0</v>
      </c>
      <c r="N16" s="2">
        <f>L16*Assumptions!$B$12+M16*Assumptions!$B$14</f>
        <v>38406.08</v>
      </c>
      <c r="O16" s="2">
        <f>N15</f>
        <v>26212.89</v>
      </c>
      <c r="P16" s="2">
        <v>0.0</v>
      </c>
      <c r="Q16" s="2">
        <v>14912.0</v>
      </c>
      <c r="R16" s="2">
        <f>R15+O16+P16-Q16</f>
        <v>586165.49</v>
      </c>
      <c r="S16" s="2">
        <f>S15+O16</f>
        <v>571253.49</v>
      </c>
      <c r="T16" s="2">
        <f>Assumptions!$D$18*1*$C16</f>
        <v>9000.0</v>
      </c>
      <c r="U16" s="2">
        <v>7335.0</v>
      </c>
      <c r="V16" s="2">
        <f>T16*Assumptions!$B$12+U16*Assumptions!$B$14</f>
        <v>208444.34</v>
      </c>
      <c r="W16" s="2">
        <f>V15</f>
        <v>143529.17</v>
      </c>
      <c r="X16" s="2">
        <v>0.0</v>
      </c>
      <c r="Y16" s="2">
        <v>14912.0</v>
      </c>
      <c r="Z16" s="2">
        <f>Z15+W16+X16-Y16</f>
        <v>3052226.12</v>
      </c>
      <c r="AA16" s="2">
        <f>AA15+W16</f>
        <v>3037314.12</v>
      </c>
    </row>
    <row r="17">
      <c r="A17" s="0" t="inlineStr">
        <is>
          <t xml:space="preserve">2027-12</t>
        </is>
      </c>
      <c r="B17" s="2">
        <v>2</v>
      </c>
      <c r="C17" s="4">
        <v>0.15</v>
      </c>
      <c r="D17" s="2">
        <f>Assumptions!$B$18*Assumptions!$B$23*$C17</f>
        <v>420.0</v>
      </c>
      <c r="E17" s="2">
        <v>100.8</v>
      </c>
      <c r="F17" s="2">
        <f>D17*Assumptions!$B$12+E17*Assumptions!$B$14</f>
        <v>7740.46</v>
      </c>
      <c r="G17" s="2">
        <f>F16</f>
        <v>9089.77</v>
      </c>
      <c r="H17" s="2">
        <v>0.0</v>
      </c>
      <c r="I17" s="2">
        <v>1520.33</v>
      </c>
      <c r="J17" s="2">
        <f>J16+G17+H17-I17</f>
        <v>132233.91</v>
      </c>
      <c r="K17" s="2">
        <f>K16+G17</f>
        <v>147437.24</v>
      </c>
      <c r="L17" s="2">
        <f>Assumptions!$C$18*Assumptions!$B$23*$C17</f>
        <v>1575.0</v>
      </c>
      <c r="M17" s="2">
        <v>740.25</v>
      </c>
      <c r="N17" s="2">
        <f>L17*Assumptions!$B$12+M17*Assumptions!$B$14</f>
        <v>32007.13</v>
      </c>
      <c r="O17" s="2">
        <f>N16</f>
        <v>38406.08</v>
      </c>
      <c r="P17" s="2">
        <v>0.0</v>
      </c>
      <c r="Q17" s="2">
        <v>14912.0</v>
      </c>
      <c r="R17" s="2">
        <f>R16+O17+P17-Q17</f>
        <v>609659.57</v>
      </c>
      <c r="S17" s="2">
        <f>S16+O17</f>
        <v>609659.57</v>
      </c>
      <c r="T17" s="2">
        <f>Assumptions!$D$18*Assumptions!$B$23*$C17</f>
        <v>7875.0</v>
      </c>
      <c r="U17" s="2">
        <v>4961.25</v>
      </c>
      <c r="V17" s="2">
        <f>T17*Assumptions!$B$12+U17*Assumptions!$B$14</f>
        <v>170402.32</v>
      </c>
      <c r="W17" s="2">
        <f>V16</f>
        <v>208444.34</v>
      </c>
      <c r="X17" s="2">
        <v>0.0</v>
      </c>
      <c r="Y17" s="2">
        <v>14912.0</v>
      </c>
      <c r="Z17" s="2">
        <f>Z16+W17+X17-Y17</f>
        <v>3245758.46</v>
      </c>
      <c r="AA17" s="2">
        <f>AA16+W17</f>
        <v>3245758.46</v>
      </c>
    </row>
    <row r="18">
      <c r="A18" s="0" t="inlineStr">
        <is>
          <t xml:space="preserve">2028-01</t>
        </is>
      </c>
      <c r="B18" s="2">
        <v>2</v>
      </c>
      <c r="C18" s="4">
        <v>0.1</v>
      </c>
      <c r="D18" s="2">
        <f>Assumptions!$B$18*Assumptions!$B$23*$C18</f>
        <v>280.0</v>
      </c>
      <c r="E18" s="2">
        <v>67.2</v>
      </c>
      <c r="F18" s="2">
        <f>D18*Assumptions!$B$12+E18*Assumptions!$B$14</f>
        <v>5160.3</v>
      </c>
      <c r="G18" s="2">
        <f>F17</f>
        <v>7740.46</v>
      </c>
      <c r="H18" s="2">
        <v>0.0</v>
      </c>
      <c r="I18" s="2">
        <v>1520.33</v>
      </c>
      <c r="J18" s="2">
        <f>J17+G18+H18-I18</f>
        <v>138454.03</v>
      </c>
      <c r="K18" s="2">
        <f>K17+G18</f>
        <v>155177.7</v>
      </c>
      <c r="L18" s="2">
        <f>Assumptions!$C$18*Assumptions!$B$23*$C18</f>
        <v>1050.0</v>
      </c>
      <c r="M18" s="2">
        <v>493.5</v>
      </c>
      <c r="N18" s="2">
        <f>L18*Assumptions!$B$12+M18*Assumptions!$B$14</f>
        <v>21338.09</v>
      </c>
      <c r="O18" s="2">
        <f>N17</f>
        <v>32007.13</v>
      </c>
      <c r="P18" s="2">
        <v>0.0</v>
      </c>
      <c r="Q18" s="2">
        <v>2187.0</v>
      </c>
      <c r="R18" s="2">
        <f>R17+O18+P18-Q18</f>
        <v>639479.71</v>
      </c>
      <c r="S18" s="2">
        <f>S17+O18</f>
        <v>641666.7</v>
      </c>
      <c r="T18" s="2">
        <f>Assumptions!$D$18*Assumptions!$B$23*$C18</f>
        <v>5250.0</v>
      </c>
      <c r="U18" s="2">
        <v>3307.5</v>
      </c>
      <c r="V18" s="2">
        <f>T18*Assumptions!$B$12+U18*Assumptions!$B$14</f>
        <v>113601.55</v>
      </c>
      <c r="W18" s="2">
        <f>V17</f>
        <v>170402.32</v>
      </c>
      <c r="X18" s="2">
        <v>0.0</v>
      </c>
      <c r="Y18" s="2">
        <v>2187.0</v>
      </c>
      <c r="Z18" s="2">
        <f>Z17+W18+X18-Y18</f>
        <v>3413973.78</v>
      </c>
      <c r="AA18" s="2">
        <f>AA17+W18</f>
        <v>3416160.78</v>
      </c>
    </row>
    <row r="19">
      <c r="A19" s="0" t="inlineStr">
        <is>
          <t xml:space="preserve">2028-02</t>
        </is>
      </c>
      <c r="B19" s="2">
        <v>2</v>
      </c>
      <c r="C19" s="4">
        <v>0.07</v>
      </c>
      <c r="D19" s="2">
        <f>Assumptions!$B$18*Assumptions!$B$23*$C19</f>
        <v>196.0</v>
      </c>
      <c r="E19" s="2">
        <v>47.04</v>
      </c>
      <c r="F19" s="2">
        <f>D19*Assumptions!$B$12+E19*Assumptions!$B$14</f>
        <v>3612.21</v>
      </c>
      <c r="G19" s="2">
        <f>F18</f>
        <v>5160.3</v>
      </c>
      <c r="H19" s="2">
        <v>0.0</v>
      </c>
      <c r="I19" s="2">
        <v>1520.33</v>
      </c>
      <c r="J19" s="2">
        <f>J18+G19+H19-I19</f>
        <v>142094.01</v>
      </c>
      <c r="K19" s="2">
        <f>K18+G19</f>
        <v>160338.0</v>
      </c>
      <c r="L19" s="2">
        <f>Assumptions!$C$18*Assumptions!$B$23*$C19</f>
        <v>735.0</v>
      </c>
      <c r="M19" s="2">
        <v>345.45</v>
      </c>
      <c r="N19" s="2">
        <f>L19*Assumptions!$B$12+M19*Assumptions!$B$14</f>
        <v>14936.66</v>
      </c>
      <c r="O19" s="2">
        <f>N18</f>
        <v>21338.09</v>
      </c>
      <c r="P19" s="2">
        <v>0.0</v>
      </c>
      <c r="Q19" s="2">
        <v>2187.0</v>
      </c>
      <c r="R19" s="2">
        <f>R18+O19+P19-Q19</f>
        <v>658630.79</v>
      </c>
      <c r="S19" s="2">
        <f>S18+O19</f>
        <v>663004.79</v>
      </c>
      <c r="T19" s="2">
        <f>Assumptions!$D$18*Assumptions!$B$23*$C19</f>
        <v>3675.0</v>
      </c>
      <c r="U19" s="2">
        <v>2315.25</v>
      </c>
      <c r="V19" s="2">
        <f>T19*Assumptions!$B$12+U19*Assumptions!$B$14</f>
        <v>79521.08</v>
      </c>
      <c r="W19" s="2">
        <f>V18</f>
        <v>113601.55</v>
      </c>
      <c r="X19" s="2">
        <v>0.0</v>
      </c>
      <c r="Y19" s="2">
        <v>2187.0</v>
      </c>
      <c r="Z19" s="2">
        <f>Z18+W19+X19-Y19</f>
        <v>3525388.33</v>
      </c>
      <c r="AA19" s="2">
        <f>AA18+W19</f>
        <v>3529762.33</v>
      </c>
    </row>
    <row r="20">
      <c r="A20" s="0" t="inlineStr">
        <is>
          <t xml:space="preserve">2028-03</t>
        </is>
      </c>
      <c r="B20" s="2">
        <v>2</v>
      </c>
      <c r="C20" s="4">
        <v>0.07</v>
      </c>
      <c r="D20" s="2">
        <f>Assumptions!$B$18*Assumptions!$B$23*$C20</f>
        <v>196.0</v>
      </c>
      <c r="E20" s="2">
        <v>47.04</v>
      </c>
      <c r="F20" s="2">
        <f>D20*Assumptions!$B$12+E20*Assumptions!$B$14</f>
        <v>3612.21</v>
      </c>
      <c r="G20" s="2">
        <f>F19</f>
        <v>3612.21</v>
      </c>
      <c r="H20" s="2">
        <v>0.0</v>
      </c>
      <c r="I20" s="2">
        <v>1520.33</v>
      </c>
      <c r="J20" s="2">
        <f>J19+G20+H20-I20</f>
        <v>144185.89</v>
      </c>
      <c r="K20" s="2">
        <f>K19+G20</f>
        <v>163950.21</v>
      </c>
      <c r="L20" s="2">
        <f>Assumptions!$C$18*Assumptions!$B$23*$C20</f>
        <v>735.0</v>
      </c>
      <c r="M20" s="2">
        <v>345.45</v>
      </c>
      <c r="N20" s="2">
        <f>L20*Assumptions!$B$12+M20*Assumptions!$B$14</f>
        <v>14936.66</v>
      </c>
      <c r="O20" s="2">
        <f>N19</f>
        <v>14936.66</v>
      </c>
      <c r="P20" s="2">
        <v>0.0</v>
      </c>
      <c r="Q20" s="2">
        <v>2187.0</v>
      </c>
      <c r="R20" s="2">
        <f>R19+O20+P20-Q20</f>
        <v>671380.46</v>
      </c>
      <c r="S20" s="2">
        <f>S19+O20</f>
        <v>677941.45</v>
      </c>
      <c r="T20" s="2">
        <f>Assumptions!$D$18*Assumptions!$B$23*$C20</f>
        <v>3675.0</v>
      </c>
      <c r="U20" s="2">
        <v>2315.25</v>
      </c>
      <c r="V20" s="2">
        <f>T20*Assumptions!$B$12+U20*Assumptions!$B$14</f>
        <v>79521.08</v>
      </c>
      <c r="W20" s="2">
        <f>V19</f>
        <v>79521.08</v>
      </c>
      <c r="X20" s="2">
        <v>0.0</v>
      </c>
      <c r="Y20" s="2">
        <v>2187.0</v>
      </c>
      <c r="Z20" s="2">
        <f>Z19+W20+X20-Y20</f>
        <v>3602722.42</v>
      </c>
      <c r="AA20" s="2">
        <f>AA19+W20</f>
        <v>3609283.41</v>
      </c>
    </row>
    <row r="21">
      <c r="A21" s="0" t="inlineStr">
        <is>
          <t xml:space="preserve">2028-04</t>
        </is>
      </c>
      <c r="B21" s="2">
        <v>2</v>
      </c>
      <c r="C21" s="4">
        <v>0.06</v>
      </c>
      <c r="D21" s="2">
        <f>Assumptions!$B$18*Assumptions!$B$23*$C21</f>
        <v>168.0</v>
      </c>
      <c r="E21" s="2">
        <v>40.32</v>
      </c>
      <c r="F21" s="2">
        <f>D21*Assumptions!$B$12+E21*Assumptions!$B$14</f>
        <v>3096.18</v>
      </c>
      <c r="G21" s="2">
        <f>F20</f>
        <v>3612.21</v>
      </c>
      <c r="H21" s="2">
        <v>0.0</v>
      </c>
      <c r="I21" s="2">
        <v>1520.33</v>
      </c>
      <c r="J21" s="2">
        <f>J20+G21+H21-I21</f>
        <v>146277.77</v>
      </c>
      <c r="K21" s="2">
        <f>K20+G21</f>
        <v>167562.42</v>
      </c>
      <c r="L21" s="2">
        <f>Assumptions!$C$18*Assumptions!$B$23*$C21</f>
        <v>630.0</v>
      </c>
      <c r="M21" s="2">
        <v>296.1</v>
      </c>
      <c r="N21" s="2">
        <f>L21*Assumptions!$B$12+M21*Assumptions!$B$14</f>
        <v>12802.85</v>
      </c>
      <c r="O21" s="2">
        <f>N20</f>
        <v>14936.66</v>
      </c>
      <c r="P21" s="2">
        <v>0.0</v>
      </c>
      <c r="Q21" s="2">
        <v>2187.0</v>
      </c>
      <c r="R21" s="2">
        <f>R20+O21+P21-Q21</f>
        <v>684130.12</v>
      </c>
      <c r="S21" s="2">
        <f>S20+O21</f>
        <v>692878.11</v>
      </c>
      <c r="T21" s="2">
        <f>Assumptions!$D$18*Assumptions!$B$23*$C21</f>
        <v>3150.0</v>
      </c>
      <c r="U21" s="2">
        <v>1984.5</v>
      </c>
      <c r="V21" s="2">
        <f>T21*Assumptions!$B$12+U21*Assumptions!$B$14</f>
        <v>68160.93</v>
      </c>
      <c r="W21" s="2">
        <f>V20</f>
        <v>79521.08</v>
      </c>
      <c r="X21" s="2">
        <v>0.0</v>
      </c>
      <c r="Y21" s="2">
        <v>2187.0</v>
      </c>
      <c r="Z21" s="2">
        <f>Z20+W21+X21-Y21</f>
        <v>3680056.5</v>
      </c>
      <c r="AA21" s="2">
        <f>AA20+W21</f>
        <v>3688804.49</v>
      </c>
    </row>
    <row r="22">
      <c r="A22" s="0" t="inlineStr">
        <is>
          <t xml:space="preserve">2028-05</t>
        </is>
      </c>
      <c r="B22" s="2">
        <v>2</v>
      </c>
      <c r="C22" s="4">
        <v>0.06</v>
      </c>
      <c r="D22" s="2">
        <f>Assumptions!$B$18*Assumptions!$B$23*$C22</f>
        <v>168.0</v>
      </c>
      <c r="E22" s="2">
        <v>40.32</v>
      </c>
      <c r="F22" s="2">
        <f>D22*Assumptions!$B$12+E22*Assumptions!$B$14</f>
        <v>3096.18</v>
      </c>
      <c r="G22" s="2">
        <f>F21</f>
        <v>3096.18</v>
      </c>
      <c r="H22" s="2">
        <v>0.0</v>
      </c>
      <c r="I22" s="2">
        <v>1520.33</v>
      </c>
      <c r="J22" s="2">
        <f>J21+G22+H22-I22</f>
        <v>147853.62</v>
      </c>
      <c r="K22" s="2">
        <f>K21+G22</f>
        <v>170658.61</v>
      </c>
      <c r="L22" s="2">
        <f>Assumptions!$C$18*Assumptions!$B$23*$C22</f>
        <v>630.0</v>
      </c>
      <c r="M22" s="2">
        <v>296.1</v>
      </c>
      <c r="N22" s="2">
        <f>L22*Assumptions!$B$12+M22*Assumptions!$B$14</f>
        <v>12802.85</v>
      </c>
      <c r="O22" s="2">
        <f>N21</f>
        <v>12802.85</v>
      </c>
      <c r="P22" s="2">
        <v>0.0</v>
      </c>
      <c r="Q22" s="2">
        <v>2187.0</v>
      </c>
      <c r="R22" s="2">
        <f>R21+O22+P22-Q22</f>
        <v>694745.98</v>
      </c>
      <c r="S22" s="2">
        <f>S21+O22</f>
        <v>705680.96</v>
      </c>
      <c r="T22" s="2">
        <f>Assumptions!$D$18*Assumptions!$B$23*$C22</f>
        <v>3150.0</v>
      </c>
      <c r="U22" s="2">
        <v>1984.5</v>
      </c>
      <c r="V22" s="2">
        <f>T22*Assumptions!$B$12+U22*Assumptions!$B$14</f>
        <v>68160.93</v>
      </c>
      <c r="W22" s="2">
        <f>V21</f>
        <v>68160.93</v>
      </c>
      <c r="X22" s="2">
        <v>0.0</v>
      </c>
      <c r="Y22" s="2">
        <v>2187.0</v>
      </c>
      <c r="Z22" s="2">
        <f>Z21+W22+X22-Y22</f>
        <v>3746030.44</v>
      </c>
      <c r="AA22" s="2">
        <f>AA21+W22</f>
        <v>3756965.42</v>
      </c>
    </row>
    <row r="23">
      <c r="A23" s="0" t="inlineStr">
        <is>
          <t xml:space="preserve">2028-06</t>
        </is>
      </c>
      <c r="B23" s="2">
        <v>2</v>
      </c>
      <c r="C23" s="4">
        <v>0.12</v>
      </c>
      <c r="D23" s="2">
        <f>Assumptions!$B$18*Assumptions!$B$23*$C23</f>
        <v>336.0</v>
      </c>
      <c r="E23" s="2">
        <v>80.64</v>
      </c>
      <c r="F23" s="2">
        <f>D23*Assumptions!$B$12+E23*Assumptions!$B$14</f>
        <v>6192.36</v>
      </c>
      <c r="G23" s="2">
        <f>F22</f>
        <v>3096.18</v>
      </c>
      <c r="H23" s="2">
        <v>0.0</v>
      </c>
      <c r="I23" s="2">
        <v>1520.33</v>
      </c>
      <c r="J23" s="2">
        <f>J22+G23+H23-I23</f>
        <v>149429.48</v>
      </c>
      <c r="K23" s="2">
        <f>K22+G23</f>
        <v>173754.79</v>
      </c>
      <c r="L23" s="2">
        <f>Assumptions!$C$18*Assumptions!$B$23*$C23</f>
        <v>1260.0</v>
      </c>
      <c r="M23" s="2">
        <v>592.2</v>
      </c>
      <c r="N23" s="2">
        <f>L23*Assumptions!$B$12+M23*Assumptions!$B$14</f>
        <v>25605.7</v>
      </c>
      <c r="O23" s="2">
        <f>N22</f>
        <v>12802.85</v>
      </c>
      <c r="P23" s="2">
        <v>0.0</v>
      </c>
      <c r="Q23" s="2">
        <v>2187.0</v>
      </c>
      <c r="R23" s="2">
        <f>R22+O23+P23-Q23</f>
        <v>705361.83</v>
      </c>
      <c r="S23" s="2">
        <f>S22+O23</f>
        <v>718483.81</v>
      </c>
      <c r="T23" s="2">
        <f>Assumptions!$D$18*Assumptions!$B$23*$C23</f>
        <v>6300.0</v>
      </c>
      <c r="U23" s="2">
        <v>3969.0</v>
      </c>
      <c r="V23" s="2">
        <f>T23*Assumptions!$B$12+U23*Assumptions!$B$14</f>
        <v>136321.86</v>
      </c>
      <c r="W23" s="2">
        <f>V22</f>
        <v>68160.93</v>
      </c>
      <c r="X23" s="2">
        <v>0.0</v>
      </c>
      <c r="Y23" s="2">
        <v>2187.0</v>
      </c>
      <c r="Z23" s="2">
        <f>Z22+W23+X23-Y23</f>
        <v>3812004.37</v>
      </c>
      <c r="AA23" s="2">
        <f>AA22+W23</f>
        <v>3825126.35</v>
      </c>
    </row>
    <row r="24">
      <c r="A24" s="0" t="inlineStr">
        <is>
          <t xml:space="preserve">2028-07</t>
        </is>
      </c>
      <c r="B24" s="2">
        <v>2</v>
      </c>
      <c r="C24" s="4">
        <v>0.08</v>
      </c>
      <c r="D24" s="2">
        <f>Assumptions!$B$18*Assumptions!$B$23*$C24</f>
        <v>224.0</v>
      </c>
      <c r="E24" s="2">
        <v>53.76</v>
      </c>
      <c r="F24" s="2">
        <f>D24*Assumptions!$B$12+E24*Assumptions!$B$14</f>
        <v>4128.24</v>
      </c>
      <c r="G24" s="2">
        <f>F23</f>
        <v>6192.36</v>
      </c>
      <c r="H24" s="2">
        <v>0.0</v>
      </c>
      <c r="I24" s="2">
        <v>1520.33</v>
      </c>
      <c r="J24" s="2">
        <f>J23+G24+H24-I24</f>
        <v>154101.51</v>
      </c>
      <c r="K24" s="2">
        <f>K23+G24</f>
        <v>179947.15</v>
      </c>
      <c r="L24" s="2">
        <f>Assumptions!$C$18*Assumptions!$B$23*$C24</f>
        <v>840.0</v>
      </c>
      <c r="M24" s="2">
        <v>394.8</v>
      </c>
      <c r="N24" s="2">
        <f>L24*Assumptions!$B$12+M24*Assumptions!$B$14</f>
        <v>17070.47</v>
      </c>
      <c r="O24" s="2">
        <f>N23</f>
        <v>25605.7</v>
      </c>
      <c r="P24" s="2">
        <v>0.0</v>
      </c>
      <c r="Q24" s="2">
        <v>2187.0</v>
      </c>
      <c r="R24" s="2">
        <f>R23+O24+P24-Q24</f>
        <v>728780.54</v>
      </c>
      <c r="S24" s="2">
        <f>S23+O24</f>
        <v>744089.51</v>
      </c>
      <c r="T24" s="2">
        <f>Assumptions!$D$18*Assumptions!$B$23*$C24</f>
        <v>4200.0</v>
      </c>
      <c r="U24" s="2">
        <v>2646.0</v>
      </c>
      <c r="V24" s="2">
        <f>T24*Assumptions!$B$12+U24*Assumptions!$B$14</f>
        <v>90881.24</v>
      </c>
      <c r="W24" s="2">
        <f>V23</f>
        <v>136321.86</v>
      </c>
      <c r="X24" s="2">
        <v>0.0</v>
      </c>
      <c r="Y24" s="2">
        <v>2187.0</v>
      </c>
      <c r="Z24" s="2">
        <f>Z23+W24+X24-Y24</f>
        <v>3946139.23</v>
      </c>
      <c r="AA24" s="2">
        <f>AA23+W24</f>
        <v>3961448.2</v>
      </c>
    </row>
    <row r="25">
      <c r="A25" s="0" t="inlineStr">
        <is>
          <t xml:space="preserve">2028-08</t>
        </is>
      </c>
      <c r="B25" s="2">
        <v>2</v>
      </c>
      <c r="C25" s="4">
        <v>0.06</v>
      </c>
      <c r="D25" s="2">
        <f>Assumptions!$B$18*Assumptions!$B$23*$C25</f>
        <v>168.0</v>
      </c>
      <c r="E25" s="2">
        <v>40.32</v>
      </c>
      <c r="F25" s="2">
        <f>D25*Assumptions!$B$12+E25*Assumptions!$B$14</f>
        <v>3096.18</v>
      </c>
      <c r="G25" s="2">
        <f>F24</f>
        <v>4128.24</v>
      </c>
      <c r="H25" s="2">
        <v>0.0</v>
      </c>
      <c r="I25" s="2">
        <v>1520.33</v>
      </c>
      <c r="J25" s="2">
        <f>J24+G25+H25-I25</f>
        <v>156709.42</v>
      </c>
      <c r="K25" s="2">
        <f>K24+G25</f>
        <v>184075.4</v>
      </c>
      <c r="L25" s="2">
        <f>Assumptions!$C$18*Assumptions!$B$23*$C25</f>
        <v>630.0</v>
      </c>
      <c r="M25" s="2">
        <v>296.1</v>
      </c>
      <c r="N25" s="2">
        <f>L25*Assumptions!$B$12+M25*Assumptions!$B$14</f>
        <v>12802.85</v>
      </c>
      <c r="O25" s="2">
        <f>N24</f>
        <v>17070.47</v>
      </c>
      <c r="P25" s="2">
        <v>0.0</v>
      </c>
      <c r="Q25" s="2">
        <v>2187.0</v>
      </c>
      <c r="R25" s="2">
        <f>R24+O25+P25-Q25</f>
        <v>743664.01</v>
      </c>
      <c r="S25" s="2">
        <f>S24+O25</f>
        <v>761159.98</v>
      </c>
      <c r="T25" s="2">
        <f>Assumptions!$D$18*Assumptions!$B$23*$C25</f>
        <v>3150.0</v>
      </c>
      <c r="U25" s="2">
        <v>1984.5</v>
      </c>
      <c r="V25" s="2">
        <f>T25*Assumptions!$B$12+U25*Assumptions!$B$14</f>
        <v>68160.93</v>
      </c>
      <c r="W25" s="2">
        <f>V24</f>
        <v>90881.24</v>
      </c>
      <c r="X25" s="2">
        <v>0.0</v>
      </c>
      <c r="Y25" s="2">
        <v>2187.0</v>
      </c>
      <c r="Z25" s="2">
        <f>Z24+W25+X25-Y25</f>
        <v>4034833.47</v>
      </c>
      <c r="AA25" s="2">
        <f>AA24+W25</f>
        <v>4052329.44</v>
      </c>
    </row>
    <row r="26">
      <c r="A26" s="0" t="inlineStr">
        <is>
          <t xml:space="preserve">2028-09</t>
        </is>
      </c>
      <c r="B26" s="2">
        <v>2</v>
      </c>
      <c r="C26" s="4">
        <v>0.06</v>
      </c>
      <c r="D26" s="2">
        <f>Assumptions!$B$18*Assumptions!$B$23*$C26</f>
        <v>168.0</v>
      </c>
      <c r="E26" s="2">
        <v>40.32</v>
      </c>
      <c r="F26" s="2">
        <f>D26*Assumptions!$B$12+E26*Assumptions!$B$14</f>
        <v>3096.18</v>
      </c>
      <c r="G26" s="2">
        <f>F25</f>
        <v>3096.18</v>
      </c>
      <c r="H26" s="2">
        <v>0.0</v>
      </c>
      <c r="I26" s="2">
        <v>1520.33</v>
      </c>
      <c r="J26" s="2">
        <f>J25+G26+H26-I26</f>
        <v>158285.28</v>
      </c>
      <c r="K26" s="2">
        <f>K25+G26</f>
        <v>187171.58</v>
      </c>
      <c r="L26" s="2">
        <f>Assumptions!$C$18*Assumptions!$B$23*$C26</f>
        <v>630.0</v>
      </c>
      <c r="M26" s="2">
        <v>296.1</v>
      </c>
      <c r="N26" s="2">
        <f>L26*Assumptions!$B$12+M26*Assumptions!$B$14</f>
        <v>12802.85</v>
      </c>
      <c r="O26" s="2">
        <f>N25</f>
        <v>12802.85</v>
      </c>
      <c r="P26" s="2">
        <v>0.0</v>
      </c>
      <c r="Q26" s="2">
        <v>2187.0</v>
      </c>
      <c r="R26" s="2">
        <f>R25+O26+P26-Q26</f>
        <v>754279.86</v>
      </c>
      <c r="S26" s="2">
        <f>S25+O26</f>
        <v>773962.83</v>
      </c>
      <c r="T26" s="2">
        <f>Assumptions!$D$18*Assumptions!$B$23*$C26</f>
        <v>3150.0</v>
      </c>
      <c r="U26" s="2">
        <v>1984.5</v>
      </c>
      <c r="V26" s="2">
        <f>T26*Assumptions!$B$12+U26*Assumptions!$B$14</f>
        <v>68160.93</v>
      </c>
      <c r="W26" s="2">
        <f>V25</f>
        <v>68160.93</v>
      </c>
      <c r="X26" s="2">
        <v>0.0</v>
      </c>
      <c r="Y26" s="2">
        <v>2187.0</v>
      </c>
      <c r="Z26" s="2">
        <f>Z25+W26+X26-Y26</f>
        <v>4100807.4</v>
      </c>
      <c r="AA26" s="2">
        <f>AA25+W26</f>
        <v>4120490.37</v>
      </c>
    </row>
    <row r="27">
      <c r="A27" s="0" t="inlineStr">
        <is>
          <t xml:space="preserve">2028-10</t>
        </is>
      </c>
      <c r="B27" s="2">
        <v>2</v>
      </c>
      <c r="C27" s="4">
        <v>0.07</v>
      </c>
      <c r="D27" s="2">
        <f>Assumptions!$B$18*Assumptions!$B$23*$C27</f>
        <v>196.0</v>
      </c>
      <c r="E27" s="2">
        <v>47.04</v>
      </c>
      <c r="F27" s="2">
        <f>D27*Assumptions!$B$12+E27*Assumptions!$B$14</f>
        <v>3612.21</v>
      </c>
      <c r="G27" s="2">
        <f>F26</f>
        <v>3096.18</v>
      </c>
      <c r="H27" s="2">
        <v>0.0</v>
      </c>
      <c r="I27" s="2">
        <v>1520.33</v>
      </c>
      <c r="J27" s="2">
        <f>J26+G27+H27-I27</f>
        <v>159861.13</v>
      </c>
      <c r="K27" s="2">
        <f>K26+G27</f>
        <v>190267.76</v>
      </c>
      <c r="L27" s="2">
        <f>Assumptions!$C$18*Assumptions!$B$23*$C27</f>
        <v>735.0</v>
      </c>
      <c r="M27" s="2">
        <v>345.45</v>
      </c>
      <c r="N27" s="2">
        <f>L27*Assumptions!$B$12+M27*Assumptions!$B$14</f>
        <v>14936.66</v>
      </c>
      <c r="O27" s="2">
        <f>N26</f>
        <v>12802.85</v>
      </c>
      <c r="P27" s="2">
        <v>0.0</v>
      </c>
      <c r="Q27" s="2">
        <v>2187.0</v>
      </c>
      <c r="R27" s="2">
        <f>R26+O27+P27-Q27</f>
        <v>764895.72</v>
      </c>
      <c r="S27" s="2">
        <f>S26+O27</f>
        <v>786765.68</v>
      </c>
      <c r="T27" s="2">
        <f>Assumptions!$D$18*Assumptions!$B$23*$C27</f>
        <v>3675.0</v>
      </c>
      <c r="U27" s="2">
        <v>2315.25</v>
      </c>
      <c r="V27" s="2">
        <f>T27*Assumptions!$B$12+U27*Assumptions!$B$14</f>
        <v>79521.08</v>
      </c>
      <c r="W27" s="2">
        <f>V26</f>
        <v>68160.93</v>
      </c>
      <c r="X27" s="2">
        <v>0.0</v>
      </c>
      <c r="Y27" s="2">
        <v>2187.0</v>
      </c>
      <c r="Z27" s="2">
        <f>Z26+W27+X27-Y27</f>
        <v>4166781.33</v>
      </c>
      <c r="AA27" s="2">
        <f>AA26+W27</f>
        <v>4188651.29</v>
      </c>
    </row>
    <row r="28">
      <c r="A28" s="0" t="inlineStr">
        <is>
          <t xml:space="preserve">2028-11</t>
        </is>
      </c>
      <c r="B28" s="2">
        <v>2</v>
      </c>
      <c r="C28" s="4">
        <v>0.1</v>
      </c>
      <c r="D28" s="2">
        <f>Assumptions!$B$18*Assumptions!$B$23*$C28</f>
        <v>280.0</v>
      </c>
      <c r="E28" s="2">
        <v>67.2</v>
      </c>
      <c r="F28" s="2">
        <f>D28*Assumptions!$B$12+E28*Assumptions!$B$14</f>
        <v>5160.3</v>
      </c>
      <c r="G28" s="2">
        <f>F27</f>
        <v>3612.21</v>
      </c>
      <c r="H28" s="2">
        <v>0.0</v>
      </c>
      <c r="I28" s="2">
        <v>2562.0</v>
      </c>
      <c r="J28" s="2">
        <f>J27+G28+H28-I28</f>
        <v>160911.35</v>
      </c>
      <c r="K28" s="2">
        <f>K27+G28</f>
        <v>193879.97</v>
      </c>
      <c r="L28" s="2">
        <f>Assumptions!$C$18*Assumptions!$B$23*$C28</f>
        <v>1050.0</v>
      </c>
      <c r="M28" s="2">
        <v>493.5</v>
      </c>
      <c r="N28" s="2">
        <f>L28*Assumptions!$B$12+M28*Assumptions!$B$14</f>
        <v>21338.09</v>
      </c>
      <c r="O28" s="2">
        <f>N27</f>
        <v>14936.66</v>
      </c>
      <c r="P28" s="2">
        <v>0.0</v>
      </c>
      <c r="Q28" s="2">
        <v>3228.66</v>
      </c>
      <c r="R28" s="2">
        <f>R27+O28+P28-Q28</f>
        <v>776603.71</v>
      </c>
      <c r="S28" s="2">
        <f>S27+O28</f>
        <v>801702.34</v>
      </c>
      <c r="T28" s="2">
        <f>Assumptions!$D$18*Assumptions!$B$23*$C28</f>
        <v>5250.0</v>
      </c>
      <c r="U28" s="2">
        <v>3307.5</v>
      </c>
      <c r="V28" s="2">
        <f>T28*Assumptions!$B$12+U28*Assumptions!$B$14</f>
        <v>113601.55</v>
      </c>
      <c r="W28" s="2">
        <f>V27</f>
        <v>79521.08</v>
      </c>
      <c r="X28" s="2">
        <v>0.0</v>
      </c>
      <c r="Y28" s="2">
        <v>3228.66</v>
      </c>
      <c r="Z28" s="2">
        <f>Z27+W28+X28-Y28</f>
        <v>4243073.75</v>
      </c>
      <c r="AA28" s="2">
        <f>AA27+W28</f>
        <v>4268172.38</v>
      </c>
    </row>
    <row r="29">
      <c r="A29" s="0" t="inlineStr">
        <is>
          <t xml:space="preserve">2028-12</t>
        </is>
      </c>
      <c r="B29" s="2">
        <v>3</v>
      </c>
      <c r="C29" s="4">
        <v>0.15</v>
      </c>
      <c r="D29" s="2">
        <f>Assumptions!$B$18*Assumptions!$B$24*$C29</f>
        <v>180.0</v>
      </c>
      <c r="E29" s="2">
        <v>43.2</v>
      </c>
      <c r="F29" s="2">
        <f>D29*Assumptions!$B$12+E29*Assumptions!$B$14</f>
        <v>3317.34</v>
      </c>
      <c r="G29" s="2">
        <f>F28</f>
        <v>5160.3</v>
      </c>
      <c r="H29" s="2">
        <v>0.0</v>
      </c>
      <c r="I29" s="2">
        <v>2562.0</v>
      </c>
      <c r="J29" s="2">
        <f>J28+G29+H29-I29</f>
        <v>163509.65</v>
      </c>
      <c r="K29" s="2">
        <f>K28+G29</f>
        <v>199040.28</v>
      </c>
      <c r="L29" s="2">
        <f>Assumptions!$C$18*Assumptions!$B$24*$C29</f>
        <v>675.0</v>
      </c>
      <c r="M29" s="2">
        <v>317.25</v>
      </c>
      <c r="N29" s="2">
        <f>L29*Assumptions!$B$12+M29*Assumptions!$B$14</f>
        <v>13717.34</v>
      </c>
      <c r="O29" s="2">
        <f>N28</f>
        <v>21338.09</v>
      </c>
      <c r="P29" s="2">
        <v>0.0</v>
      </c>
      <c r="Q29" s="2">
        <v>3228.66</v>
      </c>
      <c r="R29" s="2">
        <f>R28+O29+P29-Q29</f>
        <v>794713.14</v>
      </c>
      <c r="S29" s="2">
        <f>S28+O29</f>
        <v>823040.42</v>
      </c>
      <c r="T29" s="2">
        <f>Assumptions!$D$18*Assumptions!$B$24*$C29</f>
        <v>3375.0</v>
      </c>
      <c r="U29" s="2">
        <v>2126.25</v>
      </c>
      <c r="V29" s="2">
        <f>T29*Assumptions!$B$12+U29*Assumptions!$B$14</f>
        <v>73029.57</v>
      </c>
      <c r="W29" s="2">
        <f>V28</f>
        <v>113601.55</v>
      </c>
      <c r="X29" s="2">
        <v>0.0</v>
      </c>
      <c r="Y29" s="2">
        <v>3228.66</v>
      </c>
      <c r="Z29" s="2">
        <f>Z28+W29+X29-Y29</f>
        <v>4353446.63</v>
      </c>
      <c r="AA29" s="2">
        <f>AA28+W29</f>
        <v>4381773.92</v>
      </c>
    </row>
    <row r="30">
      <c r="A30" s="0" t="inlineStr">
        <is>
          <t xml:space="preserve">2029-01</t>
        </is>
      </c>
      <c r="B30" s="2">
        <v>3</v>
      </c>
      <c r="C30" s="4">
        <v>0.1</v>
      </c>
      <c r="D30" s="2">
        <f>Assumptions!$B$18*Assumptions!$B$24*$C30</f>
        <v>120.0</v>
      </c>
      <c r="E30" s="2">
        <v>28.8</v>
      </c>
      <c r="F30" s="2">
        <f>D30*Assumptions!$B$12+E30*Assumptions!$B$14</f>
        <v>2211.56</v>
      </c>
      <c r="G30" s="2">
        <f>F29</f>
        <v>3317.34</v>
      </c>
      <c r="H30" s="2">
        <v>0.0</v>
      </c>
      <c r="I30" s="2">
        <v>2562.0</v>
      </c>
      <c r="J30" s="2">
        <f>J29+G30+H30-I30</f>
        <v>164264.99</v>
      </c>
      <c r="K30" s="2">
        <f>K29+G30</f>
        <v>202357.61</v>
      </c>
      <c r="L30" s="2">
        <f>Assumptions!$C$18*Assumptions!$B$24*$C30</f>
        <v>450.0</v>
      </c>
      <c r="M30" s="2">
        <v>211.5</v>
      </c>
      <c r="N30" s="2">
        <f>L30*Assumptions!$B$12+M30*Assumptions!$B$14</f>
        <v>9144.89</v>
      </c>
      <c r="O30" s="2">
        <f>N29</f>
        <v>13717.34</v>
      </c>
      <c r="P30" s="2">
        <v>0.0</v>
      </c>
      <c r="Q30" s="2">
        <v>3228.66</v>
      </c>
      <c r="R30" s="2">
        <f>R29+O30+P30-Q30</f>
        <v>805201.81</v>
      </c>
      <c r="S30" s="2">
        <f>S29+O30</f>
        <v>836757.77</v>
      </c>
      <c r="T30" s="2">
        <f>Assumptions!$D$18*Assumptions!$B$24*$C30</f>
        <v>2250.0</v>
      </c>
      <c r="U30" s="2">
        <v>1417.5</v>
      </c>
      <c r="V30" s="2">
        <f>T30*Assumptions!$B$12+U30*Assumptions!$B$14</f>
        <v>48686.38</v>
      </c>
      <c r="W30" s="2">
        <f>V29</f>
        <v>73029.57</v>
      </c>
      <c r="X30" s="2">
        <v>0.0</v>
      </c>
      <c r="Y30" s="2">
        <v>3228.66</v>
      </c>
      <c r="Z30" s="2">
        <f>Z29+W30+X30-Y30</f>
        <v>4423247.53</v>
      </c>
      <c r="AA30" s="2">
        <f>AA29+W30</f>
        <v>4454803.49</v>
      </c>
    </row>
    <row r="31">
      <c r="A31" s="0" t="inlineStr">
        <is>
          <t xml:space="preserve">2029-02</t>
        </is>
      </c>
      <c r="B31" s="2">
        <v>3</v>
      </c>
      <c r="C31" s="4">
        <v>0.07</v>
      </c>
      <c r="D31" s="2">
        <f>Assumptions!$B$18*Assumptions!$B$24*$C31</f>
        <v>84.0</v>
      </c>
      <c r="E31" s="2">
        <v>20.16</v>
      </c>
      <c r="F31" s="2">
        <f>D31*Assumptions!$B$12+E31*Assumptions!$B$14</f>
        <v>1548.09</v>
      </c>
      <c r="G31" s="2">
        <f>F30</f>
        <v>2211.56</v>
      </c>
      <c r="H31" s="2">
        <v>0.0</v>
      </c>
      <c r="I31" s="2">
        <v>2562.0</v>
      </c>
      <c r="J31" s="2">
        <f>J30+G31+H31-I31</f>
        <v>163914.56</v>
      </c>
      <c r="K31" s="2">
        <f>K30+G31</f>
        <v>204569.17</v>
      </c>
      <c r="L31" s="2">
        <f>Assumptions!$C$18*Assumptions!$B$24*$C31</f>
        <v>315.0</v>
      </c>
      <c r="M31" s="2">
        <v>148.05</v>
      </c>
      <c r="N31" s="2">
        <f>L31*Assumptions!$B$12+M31*Assumptions!$B$14</f>
        <v>6401.43</v>
      </c>
      <c r="O31" s="2">
        <f>N30</f>
        <v>9144.89</v>
      </c>
      <c r="P31" s="2">
        <v>0.0</v>
      </c>
      <c r="Q31" s="2">
        <v>3228.66</v>
      </c>
      <c r="R31" s="2">
        <f>R30+O31+P31-Q31</f>
        <v>811118.04</v>
      </c>
      <c r="S31" s="2">
        <f>S30+O31</f>
        <v>845902.66</v>
      </c>
      <c r="T31" s="2">
        <f>Assumptions!$D$18*Assumptions!$B$24*$C31</f>
        <v>1575.0</v>
      </c>
      <c r="U31" s="2">
        <v>992.25</v>
      </c>
      <c r="V31" s="2">
        <f>T31*Assumptions!$B$12+U31*Assumptions!$B$14</f>
        <v>34080.46</v>
      </c>
      <c r="W31" s="2">
        <f>V30</f>
        <v>48686.38</v>
      </c>
      <c r="X31" s="2">
        <v>0.0</v>
      </c>
      <c r="Y31" s="2">
        <v>3228.66</v>
      </c>
      <c r="Z31" s="2">
        <f>Z30+W31+X31-Y31</f>
        <v>4468705.25</v>
      </c>
      <c r="AA31" s="2">
        <f>AA30+W31</f>
        <v>4503489.86</v>
      </c>
    </row>
    <row r="32">
      <c r="A32" s="0" t="inlineStr">
        <is>
          <t xml:space="preserve">2029-03</t>
        </is>
      </c>
      <c r="B32" s="2">
        <v>3</v>
      </c>
      <c r="C32" s="4">
        <v>0.07</v>
      </c>
      <c r="D32" s="2">
        <f>Assumptions!$B$18*Assumptions!$B$24*$C32</f>
        <v>84.0</v>
      </c>
      <c r="E32" s="2">
        <v>20.16</v>
      </c>
      <c r="F32" s="2">
        <f>D32*Assumptions!$B$12+E32*Assumptions!$B$14</f>
        <v>1548.09</v>
      </c>
      <c r="G32" s="2">
        <f>F31</f>
        <v>1548.09</v>
      </c>
      <c r="H32" s="2">
        <v>0.0</v>
      </c>
      <c r="I32" s="2">
        <v>2562.0</v>
      </c>
      <c r="J32" s="2">
        <f>J31+G32+H32-I32</f>
        <v>162900.65</v>
      </c>
      <c r="K32" s="2">
        <f>K31+G32</f>
        <v>206117.26</v>
      </c>
      <c r="L32" s="2">
        <f>Assumptions!$C$18*Assumptions!$B$24*$C32</f>
        <v>315.0</v>
      </c>
      <c r="M32" s="2">
        <v>148.05</v>
      </c>
      <c r="N32" s="2">
        <f>L32*Assumptions!$B$12+M32*Assumptions!$B$14</f>
        <v>6401.43</v>
      </c>
      <c r="O32" s="2">
        <f>N31</f>
        <v>6401.43</v>
      </c>
      <c r="P32" s="2">
        <v>0.0</v>
      </c>
      <c r="Q32" s="2">
        <v>3228.66</v>
      </c>
      <c r="R32" s="2">
        <f>R31+O32+P32-Q32</f>
        <v>814290.81</v>
      </c>
      <c r="S32" s="2">
        <f>S31+O32</f>
        <v>852304.08</v>
      </c>
      <c r="T32" s="2">
        <f>Assumptions!$D$18*Assumptions!$B$24*$C32</f>
        <v>1575.0</v>
      </c>
      <c r="U32" s="2">
        <v>992.25</v>
      </c>
      <c r="V32" s="2">
        <f>T32*Assumptions!$B$12+U32*Assumptions!$B$14</f>
        <v>34080.46</v>
      </c>
      <c r="W32" s="2">
        <f>V31</f>
        <v>34080.46</v>
      </c>
      <c r="X32" s="2">
        <v>0.0</v>
      </c>
      <c r="Y32" s="2">
        <v>3228.66</v>
      </c>
      <c r="Z32" s="2">
        <f>Z31+W32+X32-Y32</f>
        <v>4499557.05</v>
      </c>
      <c r="AA32" s="2">
        <f>AA31+W32</f>
        <v>4537570.33</v>
      </c>
    </row>
    <row r="33">
      <c r="A33" s="0" t="inlineStr">
        <is>
          <t xml:space="preserve">2029-04</t>
        </is>
      </c>
      <c r="B33" s="2">
        <v>3</v>
      </c>
      <c r="C33" s="4">
        <v>0.06</v>
      </c>
      <c r="D33" s="2">
        <f>Assumptions!$B$18*Assumptions!$B$24*$C33</f>
        <v>72.0</v>
      </c>
      <c r="E33" s="2">
        <v>17.28</v>
      </c>
      <c r="F33" s="2">
        <f>D33*Assumptions!$B$12+E33*Assumptions!$B$14</f>
        <v>1326.94</v>
      </c>
      <c r="G33" s="2">
        <f>F32</f>
        <v>1548.09</v>
      </c>
      <c r="H33" s="2">
        <v>0.0</v>
      </c>
      <c r="I33" s="2">
        <v>2562.0</v>
      </c>
      <c r="J33" s="2">
        <f>J32+G33+H33-I33</f>
        <v>161886.75</v>
      </c>
      <c r="K33" s="2">
        <f>K32+G33</f>
        <v>207665.35</v>
      </c>
      <c r="L33" s="2">
        <f>Assumptions!$C$18*Assumptions!$B$24*$C33</f>
        <v>270.0</v>
      </c>
      <c r="M33" s="2">
        <v>126.9</v>
      </c>
      <c r="N33" s="2">
        <f>L33*Assumptions!$B$12+M33*Assumptions!$B$14</f>
        <v>5486.94</v>
      </c>
      <c r="O33" s="2">
        <f>N32</f>
        <v>6401.43</v>
      </c>
      <c r="P33" s="2">
        <v>0.0</v>
      </c>
      <c r="Q33" s="2">
        <v>3228.66</v>
      </c>
      <c r="R33" s="2">
        <f>R32+O33+P33-Q33</f>
        <v>817463.57</v>
      </c>
      <c r="S33" s="2">
        <f>S32+O33</f>
        <v>858705.51</v>
      </c>
      <c r="T33" s="2">
        <f>Assumptions!$D$18*Assumptions!$B$24*$C33</f>
        <v>1350.0</v>
      </c>
      <c r="U33" s="2">
        <v>850.5</v>
      </c>
      <c r="V33" s="2">
        <f>T33*Assumptions!$B$12+U33*Assumptions!$B$14</f>
        <v>29211.83</v>
      </c>
      <c r="W33" s="2">
        <f>V32</f>
        <v>34080.46</v>
      </c>
      <c r="X33" s="2">
        <v>0.0</v>
      </c>
      <c r="Y33" s="2">
        <v>3228.66</v>
      </c>
      <c r="Z33" s="2">
        <f>Z32+W33+X33-Y33</f>
        <v>4530408.85</v>
      </c>
      <c r="AA33" s="2">
        <f>AA32+W33</f>
        <v>4571650.79</v>
      </c>
    </row>
    <row r="34">
      <c r="A34" s="0" t="inlineStr">
        <is>
          <t xml:space="preserve">2029-05</t>
        </is>
      </c>
      <c r="B34" s="2">
        <v>3</v>
      </c>
      <c r="C34" s="4">
        <v>0.06</v>
      </c>
      <c r="D34" s="2">
        <f>Assumptions!$B$18*Assumptions!$B$24*$C34</f>
        <v>72.0</v>
      </c>
      <c r="E34" s="2">
        <v>17.28</v>
      </c>
      <c r="F34" s="2">
        <f>D34*Assumptions!$B$12+E34*Assumptions!$B$14</f>
        <v>1326.94</v>
      </c>
      <c r="G34" s="2">
        <f>F33</f>
        <v>1326.94</v>
      </c>
      <c r="H34" s="2">
        <v>0.0</v>
      </c>
      <c r="I34" s="2">
        <v>2562.0</v>
      </c>
      <c r="J34" s="2">
        <f>J33+G34+H34-I34</f>
        <v>160651.68</v>
      </c>
      <c r="K34" s="2">
        <f>K33+G34</f>
        <v>208992.29</v>
      </c>
      <c r="L34" s="2">
        <f>Assumptions!$C$18*Assumptions!$B$24*$C34</f>
        <v>270.0</v>
      </c>
      <c r="M34" s="2">
        <v>126.9</v>
      </c>
      <c r="N34" s="2">
        <f>L34*Assumptions!$B$12+M34*Assumptions!$B$14</f>
        <v>5486.94</v>
      </c>
      <c r="O34" s="2">
        <f>N33</f>
        <v>5486.94</v>
      </c>
      <c r="P34" s="2">
        <v>0.0</v>
      </c>
      <c r="Q34" s="2">
        <v>3228.66</v>
      </c>
      <c r="R34" s="2">
        <f>R33+O34+P34-Q34</f>
        <v>819721.84</v>
      </c>
      <c r="S34" s="2">
        <f>S33+O34</f>
        <v>864192.45</v>
      </c>
      <c r="T34" s="2">
        <f>Assumptions!$D$18*Assumptions!$B$24*$C34</f>
        <v>1350.0</v>
      </c>
      <c r="U34" s="2">
        <v>850.5</v>
      </c>
      <c r="V34" s="2">
        <f>T34*Assumptions!$B$12+U34*Assumptions!$B$14</f>
        <v>29211.83</v>
      </c>
      <c r="W34" s="2">
        <f>V33</f>
        <v>29211.83</v>
      </c>
      <c r="X34" s="2">
        <v>0.0</v>
      </c>
      <c r="Y34" s="2">
        <v>3228.66</v>
      </c>
      <c r="Z34" s="2">
        <f>Z33+W34+X34-Y34</f>
        <v>4556392.01</v>
      </c>
      <c r="AA34" s="2">
        <f>AA33+W34</f>
        <v>4600862.62</v>
      </c>
    </row>
    <row r="35">
      <c r="A35" s="0" t="inlineStr">
        <is>
          <t xml:space="preserve">2029-06</t>
        </is>
      </c>
      <c r="B35" s="2">
        <v>3</v>
      </c>
      <c r="C35" s="4">
        <v>0.12</v>
      </c>
      <c r="D35" s="2">
        <f>Assumptions!$B$18*Assumptions!$B$24*$C35</f>
        <v>144.0</v>
      </c>
      <c r="E35" s="2">
        <v>34.56</v>
      </c>
      <c r="F35" s="2">
        <f>D35*Assumptions!$B$12+E35*Assumptions!$B$14</f>
        <v>2653.87</v>
      </c>
      <c r="G35" s="2">
        <f>F34</f>
        <v>1326.94</v>
      </c>
      <c r="H35" s="2">
        <v>0.0</v>
      </c>
      <c r="I35" s="2">
        <v>2562.0</v>
      </c>
      <c r="J35" s="2">
        <f>J34+G35+H35-I35</f>
        <v>159416.62</v>
      </c>
      <c r="K35" s="2">
        <f>K34+G35</f>
        <v>210319.22</v>
      </c>
      <c r="L35" s="2">
        <f>Assumptions!$C$18*Assumptions!$B$24*$C35</f>
        <v>540.0</v>
      </c>
      <c r="M35" s="2">
        <v>253.8</v>
      </c>
      <c r="N35" s="2">
        <f>L35*Assumptions!$B$12+M35*Assumptions!$B$14</f>
        <v>10973.87</v>
      </c>
      <c r="O35" s="2">
        <f>N34</f>
        <v>5486.94</v>
      </c>
      <c r="P35" s="2">
        <v>0.0</v>
      </c>
      <c r="Q35" s="2">
        <v>3228.66</v>
      </c>
      <c r="R35" s="2">
        <f>R34+O35+P35-Q35</f>
        <v>821980.11</v>
      </c>
      <c r="S35" s="2">
        <f>S34+O35</f>
        <v>869679.38</v>
      </c>
      <c r="T35" s="2">
        <f>Assumptions!$D$18*Assumptions!$B$24*$C35</f>
        <v>2700.0</v>
      </c>
      <c r="U35" s="2">
        <v>1701.0</v>
      </c>
      <c r="V35" s="2">
        <f>T35*Assumptions!$B$12+U35*Assumptions!$B$14</f>
        <v>58423.65</v>
      </c>
      <c r="W35" s="2">
        <f>V34</f>
        <v>29211.83</v>
      </c>
      <c r="X35" s="2">
        <v>0.0</v>
      </c>
      <c r="Y35" s="2">
        <v>3228.66</v>
      </c>
      <c r="Z35" s="2">
        <f>Z34+W35+X35-Y35</f>
        <v>4582375.18</v>
      </c>
      <c r="AA35" s="2">
        <f>AA34+W35</f>
        <v>4630074.44</v>
      </c>
    </row>
    <row r="36">
      <c r="A36" s="0" t="inlineStr">
        <is>
          <t xml:space="preserve">2029-07</t>
        </is>
      </c>
      <c r="B36" s="2">
        <v>3</v>
      </c>
      <c r="C36" s="4">
        <v>0.08</v>
      </c>
      <c r="D36" s="2">
        <f>Assumptions!$B$18*Assumptions!$B$24*$C36</f>
        <v>96.0</v>
      </c>
      <c r="E36" s="2">
        <v>23.04</v>
      </c>
      <c r="F36" s="2">
        <f>D36*Assumptions!$B$12+E36*Assumptions!$B$14</f>
        <v>1769.25</v>
      </c>
      <c r="G36" s="2">
        <f>F35</f>
        <v>2653.87</v>
      </c>
      <c r="H36" s="2">
        <v>0.0</v>
      </c>
      <c r="I36" s="2">
        <v>2562.0</v>
      </c>
      <c r="J36" s="2">
        <f>J35+G36+H36-I36</f>
        <v>159508.5</v>
      </c>
      <c r="K36" s="2">
        <f>K35+G36</f>
        <v>212973.09</v>
      </c>
      <c r="L36" s="2">
        <f>Assumptions!$C$18*Assumptions!$B$24*$C36</f>
        <v>360.0</v>
      </c>
      <c r="M36" s="2">
        <v>169.2</v>
      </c>
      <c r="N36" s="2">
        <f>L36*Assumptions!$B$12+M36*Assumptions!$B$14</f>
        <v>7315.91</v>
      </c>
      <c r="O36" s="2">
        <f>N35</f>
        <v>10973.87</v>
      </c>
      <c r="P36" s="2">
        <v>0.0</v>
      </c>
      <c r="Q36" s="2">
        <v>3228.66</v>
      </c>
      <c r="R36" s="2">
        <f>R35+O36+P36-Q36</f>
        <v>829725.32</v>
      </c>
      <c r="S36" s="2">
        <f>S35+O36</f>
        <v>880653.25</v>
      </c>
      <c r="T36" s="2">
        <f>Assumptions!$D$18*Assumptions!$B$24*$C36</f>
        <v>1800.0</v>
      </c>
      <c r="U36" s="2">
        <v>1134.0</v>
      </c>
      <c r="V36" s="2">
        <f>T36*Assumptions!$B$12+U36*Assumptions!$B$14</f>
        <v>38949.1</v>
      </c>
      <c r="W36" s="2">
        <f>V35</f>
        <v>58423.65</v>
      </c>
      <c r="X36" s="2">
        <v>0.0</v>
      </c>
      <c r="Y36" s="2">
        <v>3228.66</v>
      </c>
      <c r="Z36" s="2">
        <f>Z35+W36+X36-Y36</f>
        <v>4637570.17</v>
      </c>
      <c r="AA36" s="2">
        <f>AA35+W36</f>
        <v>4688498.1</v>
      </c>
    </row>
    <row r="37">
      <c r="A37" s="0" t="inlineStr">
        <is>
          <t xml:space="preserve">2029-08</t>
        </is>
      </c>
      <c r="B37" s="2">
        <v>3</v>
      </c>
      <c r="C37" s="4">
        <v>0.06</v>
      </c>
      <c r="D37" s="2">
        <f>Assumptions!$B$18*Assumptions!$B$24*$C37</f>
        <v>72.0</v>
      </c>
      <c r="E37" s="2">
        <v>17.28</v>
      </c>
      <c r="F37" s="2">
        <f>D37*Assumptions!$B$12+E37*Assumptions!$B$14</f>
        <v>1326.94</v>
      </c>
      <c r="G37" s="2">
        <f>F36</f>
        <v>1769.25</v>
      </c>
      <c r="H37" s="2">
        <v>0.0</v>
      </c>
      <c r="I37" s="2">
        <v>2562.0</v>
      </c>
      <c r="J37" s="2">
        <f>J36+G37+H37-I37</f>
        <v>158715.75</v>
      </c>
      <c r="K37" s="2">
        <f>K36+G37</f>
        <v>214742.34</v>
      </c>
      <c r="L37" s="2">
        <f>Assumptions!$C$18*Assumptions!$B$24*$C37</f>
        <v>270.0</v>
      </c>
      <c r="M37" s="2">
        <v>126.9</v>
      </c>
      <c r="N37" s="2">
        <f>L37*Assumptions!$B$12+M37*Assumptions!$B$14</f>
        <v>5486.94</v>
      </c>
      <c r="O37" s="2">
        <f>N36</f>
        <v>7315.91</v>
      </c>
      <c r="P37" s="2">
        <v>0.0</v>
      </c>
      <c r="Q37" s="2">
        <v>3228.66</v>
      </c>
      <c r="R37" s="2">
        <f>R36+O37+P37-Q37</f>
        <v>833812.58</v>
      </c>
      <c r="S37" s="2">
        <f>S36+O37</f>
        <v>887969.17</v>
      </c>
      <c r="T37" s="2">
        <f>Assumptions!$D$18*Assumptions!$B$24*$C37</f>
        <v>1350.0</v>
      </c>
      <c r="U37" s="2">
        <v>850.5</v>
      </c>
      <c r="V37" s="2">
        <f>T37*Assumptions!$B$12+U37*Assumptions!$B$14</f>
        <v>29211.83</v>
      </c>
      <c r="W37" s="2">
        <f>V36</f>
        <v>38949.1</v>
      </c>
      <c r="X37" s="2">
        <v>0.0</v>
      </c>
      <c r="Y37" s="2">
        <v>3228.66</v>
      </c>
      <c r="Z37" s="2">
        <f>Z36+W37+X37-Y37</f>
        <v>4673290.6</v>
      </c>
      <c r="AA37" s="2">
        <f>AA36+W37</f>
        <v>4727447.2</v>
      </c>
    </row>
    <row r="38">
      <c r="A38" s="0" t="inlineStr">
        <is>
          <t xml:space="preserve">2029-09</t>
        </is>
      </c>
      <c r="B38" s="2">
        <v>3</v>
      </c>
      <c r="C38" s="4">
        <v>0.06</v>
      </c>
      <c r="D38" s="2">
        <f>Assumptions!$B$18*Assumptions!$B$24*$C38</f>
        <v>72.0</v>
      </c>
      <c r="E38" s="2">
        <v>17.28</v>
      </c>
      <c r="F38" s="2">
        <f>D38*Assumptions!$B$12+E38*Assumptions!$B$14</f>
        <v>1326.94</v>
      </c>
      <c r="G38" s="2">
        <f>F37</f>
        <v>1326.94</v>
      </c>
      <c r="H38" s="2">
        <v>0.0</v>
      </c>
      <c r="I38" s="2">
        <v>2562.0</v>
      </c>
      <c r="J38" s="2">
        <f>J37+G38+H38-I38</f>
        <v>157480.69</v>
      </c>
      <c r="K38" s="2">
        <f>K37+G38</f>
        <v>216069.28</v>
      </c>
      <c r="L38" s="2">
        <f>Assumptions!$C$18*Assumptions!$B$24*$C38</f>
        <v>270.0</v>
      </c>
      <c r="M38" s="2">
        <v>126.9</v>
      </c>
      <c r="N38" s="2">
        <f>L38*Assumptions!$B$12+M38*Assumptions!$B$14</f>
        <v>5486.94</v>
      </c>
      <c r="O38" s="2">
        <f>N37</f>
        <v>5486.94</v>
      </c>
      <c r="P38" s="2">
        <v>0.0</v>
      </c>
      <c r="Q38" s="2">
        <v>3228.66</v>
      </c>
      <c r="R38" s="2">
        <f>R37+O38+P38-Q38</f>
        <v>836070.85</v>
      </c>
      <c r="S38" s="2">
        <f>S37+O38</f>
        <v>893456.11</v>
      </c>
      <c r="T38" s="2">
        <f>Assumptions!$D$18*Assumptions!$B$24*$C38</f>
        <v>1350.0</v>
      </c>
      <c r="U38" s="2">
        <v>850.5</v>
      </c>
      <c r="V38" s="2">
        <f>T38*Assumptions!$B$12+U38*Assumptions!$B$14</f>
        <v>29211.83</v>
      </c>
      <c r="W38" s="2">
        <f>V37</f>
        <v>29211.83</v>
      </c>
      <c r="X38" s="2">
        <v>0.0</v>
      </c>
      <c r="Y38" s="2">
        <v>3228.66</v>
      </c>
      <c r="Z38" s="2">
        <f>Z37+W38+X38-Y38</f>
        <v>4699273.77</v>
      </c>
      <c r="AA38" s="2">
        <f>AA37+W38</f>
        <v>4756659.02</v>
      </c>
    </row>
    <row r="39">
      <c r="A39" s="0" t="inlineStr">
        <is>
          <t xml:space="preserve">2029-10</t>
        </is>
      </c>
      <c r="B39" s="2">
        <v>3</v>
      </c>
      <c r="C39" s="4">
        <v>0.07</v>
      </c>
      <c r="D39" s="2">
        <f>Assumptions!$B$18*Assumptions!$B$24*$C39</f>
        <v>84.0</v>
      </c>
      <c r="E39" s="2">
        <v>20.16</v>
      </c>
      <c r="F39" s="2">
        <f>D39*Assumptions!$B$12+E39*Assumptions!$B$14</f>
        <v>1548.09</v>
      </c>
      <c r="G39" s="2">
        <f>F38</f>
        <v>1326.94</v>
      </c>
      <c r="H39" s="2">
        <v>0.0</v>
      </c>
      <c r="I39" s="2">
        <v>2562.0</v>
      </c>
      <c r="J39" s="2">
        <f>J38+G39+H39-I39</f>
        <v>156245.63</v>
      </c>
      <c r="K39" s="2">
        <f>K38+G39</f>
        <v>217396.21</v>
      </c>
      <c r="L39" s="2">
        <f>Assumptions!$C$18*Assumptions!$B$24*$C39</f>
        <v>315.0</v>
      </c>
      <c r="M39" s="2">
        <v>148.05</v>
      </c>
      <c r="N39" s="2">
        <f>L39*Assumptions!$B$12+M39*Assumptions!$B$14</f>
        <v>6401.43</v>
      </c>
      <c r="O39" s="2">
        <f>N38</f>
        <v>5486.94</v>
      </c>
      <c r="P39" s="2">
        <v>0.0</v>
      </c>
      <c r="Q39" s="2">
        <v>3228.66</v>
      </c>
      <c r="R39" s="2">
        <f>R38+O39+P39-Q39</f>
        <v>838329.12</v>
      </c>
      <c r="S39" s="2">
        <f>S38+O39</f>
        <v>898943.04</v>
      </c>
      <c r="T39" s="2">
        <f>Assumptions!$D$18*Assumptions!$B$24*$C39</f>
        <v>1575.0</v>
      </c>
      <c r="U39" s="2">
        <v>992.25</v>
      </c>
      <c r="V39" s="2">
        <f>T39*Assumptions!$B$12+U39*Assumptions!$B$14</f>
        <v>34080.46</v>
      </c>
      <c r="W39" s="2">
        <f>V38</f>
        <v>29211.83</v>
      </c>
      <c r="X39" s="2">
        <v>0.0</v>
      </c>
      <c r="Y39" s="2">
        <v>3228.66</v>
      </c>
      <c r="Z39" s="2">
        <f>Z38+W39+X39-Y39</f>
        <v>4725256.93</v>
      </c>
      <c r="AA39" s="2">
        <f>AA38+W39</f>
        <v>4785870.85</v>
      </c>
    </row>
    <row r="40">
      <c r="A40" s="0" t="inlineStr">
        <is>
          <t xml:space="preserve">2029-11</t>
        </is>
      </c>
      <c r="B40" s="2">
        <v>3</v>
      </c>
      <c r="C40" s="4">
        <v>0.1</v>
      </c>
      <c r="D40" s="2">
        <f>Assumptions!$B$18*Assumptions!$B$24*$C40</f>
        <v>120.0</v>
      </c>
      <c r="E40" s="2">
        <v>28.8</v>
      </c>
      <c r="F40" s="2">
        <f>D40*Assumptions!$B$12+E40*Assumptions!$B$14</f>
        <v>2211.56</v>
      </c>
      <c r="G40" s="2">
        <f>F39</f>
        <v>1548.09</v>
      </c>
      <c r="H40" s="2">
        <v>0.0</v>
      </c>
      <c r="I40" s="2">
        <v>2562.0</v>
      </c>
      <c r="J40" s="2">
        <f>J39+G40+H40-I40</f>
        <v>155231.72</v>
      </c>
      <c r="K40" s="2">
        <f>K39+G40</f>
        <v>218944.3</v>
      </c>
      <c r="L40" s="2">
        <f>Assumptions!$C$18*Assumptions!$B$24*$C40</f>
        <v>450.0</v>
      </c>
      <c r="M40" s="2">
        <v>211.5</v>
      </c>
      <c r="N40" s="2">
        <f>L40*Assumptions!$B$12+M40*Assumptions!$B$14</f>
        <v>9144.89</v>
      </c>
      <c r="O40" s="2">
        <f>N39</f>
        <v>6401.43</v>
      </c>
      <c r="P40" s="2">
        <v>0.0</v>
      </c>
      <c r="Q40" s="2">
        <v>3228.66</v>
      </c>
      <c r="R40" s="2">
        <f>R39+O40+P40-Q40</f>
        <v>841501.88</v>
      </c>
      <c r="S40" s="2">
        <f>S39+O40</f>
        <v>905344.47</v>
      </c>
      <c r="T40" s="2">
        <f>Assumptions!$D$18*Assumptions!$B$24*$C40</f>
        <v>2250.0</v>
      </c>
      <c r="U40" s="2">
        <v>1417.5</v>
      </c>
      <c r="V40" s="2">
        <f>T40*Assumptions!$B$12+U40*Assumptions!$B$14</f>
        <v>48686.38</v>
      </c>
      <c r="W40" s="2">
        <f>V39</f>
        <v>34080.46</v>
      </c>
      <c r="X40" s="2">
        <v>0.0</v>
      </c>
      <c r="Y40" s="2">
        <v>3228.66</v>
      </c>
      <c r="Z40" s="2">
        <f>Z39+W40+X40-Y40</f>
        <v>4756108.73</v>
      </c>
      <c r="AA40" s="2">
        <f>AA39+W40</f>
        <v>4819951.31</v>
      </c>
    </row>
    <row r="41">
      <c r="A41" s="0" t="inlineStr">
        <is>
          <t xml:space="preserve">2029-12</t>
        </is>
      </c>
      <c r="B41" s="2"/>
      <c r="C41" s="4">
        <v>0.0</v>
      </c>
      <c r="D41" s="2">
        <v>0</v>
      </c>
      <c r="E41" s="2">
        <v>0.0</v>
      </c>
      <c r="F41" s="2">
        <f>D41*Assumptions!$B$12+E41*Assumptions!$B$14</f>
        <v>0.0</v>
      </c>
      <c r="G41" s="2">
        <f>F40</f>
        <v>2211.56</v>
      </c>
      <c r="H41" s="2">
        <v>0.0</v>
      </c>
      <c r="I41" s="2">
        <v>2562.0</v>
      </c>
      <c r="J41" s="2">
        <f>J40+G41+H41-I41</f>
        <v>154881.28</v>
      </c>
      <c r="K41" s="2">
        <f>K40+G41</f>
        <v>221155.86</v>
      </c>
      <c r="L41" s="2">
        <v>0</v>
      </c>
      <c r="M41" s="2">
        <v>0.0</v>
      </c>
      <c r="N41" s="2">
        <f>L41*Assumptions!$B$12+M41*Assumptions!$B$14</f>
        <v>0.0</v>
      </c>
      <c r="O41" s="2">
        <f>N40</f>
        <v>9144.89</v>
      </c>
      <c r="P41" s="2">
        <v>0.0</v>
      </c>
      <c r="Q41" s="2">
        <v>3228.66</v>
      </c>
      <c r="R41" s="2">
        <f>R40+O41+P41-Q41</f>
        <v>847418.12</v>
      </c>
      <c r="S41" s="2">
        <f>S40+O41</f>
        <v>914489.36</v>
      </c>
      <c r="T41" s="2">
        <v>0</v>
      </c>
      <c r="U41" s="2">
        <v>0.0</v>
      </c>
      <c r="V41" s="2">
        <f>T41*Assumptions!$B$12+U41*Assumptions!$B$14</f>
        <v>0.0</v>
      </c>
      <c r="W41" s="2">
        <f>V40</f>
        <v>48686.38</v>
      </c>
      <c r="X41" s="2">
        <v>0.0</v>
      </c>
      <c r="Y41" s="2">
        <v>3228.66</v>
      </c>
      <c r="Z41" s="2">
        <f>Z40+W41+X41-Y41</f>
        <v>4801566.45</v>
      </c>
      <c r="AA41" s="2">
        <f>AA40+W41</f>
        <v>4868637.69</v>
      </c>
    </row>
  </sheetData>
</worksheet>
</file>